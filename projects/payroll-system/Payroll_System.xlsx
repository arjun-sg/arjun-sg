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garj\Downloads\Projects\My Projects\Excel\"/>
    </mc:Choice>
  </mc:AlternateContent>
  <xr:revisionPtr revIDLastSave="0" documentId="13_ncr:1_{3420DF13-266D-4657-8929-81FFDD3372C8}" xr6:coauthVersionLast="47" xr6:coauthVersionMax="47" xr10:uidLastSave="{00000000-0000-0000-0000-000000000000}"/>
  <bookViews>
    <workbookView xWindow="-120" yWindow="-120" windowWidth="29040" windowHeight="15720" tabRatio="922" xr2:uid="{00000000-000D-0000-FFFF-FFFF00000000}"/>
  </bookViews>
  <sheets>
    <sheet name="Employee Profile" sheetId="9" r:id="rId1"/>
    <sheet name="Pivot Tables - Workforce" sheetId="16" state="hidden" r:id="rId2"/>
    <sheet name="Dashboard for Emp Workforce" sheetId="14" r:id="rId3"/>
    <sheet name="Business Insights for Workforce" sheetId="19" r:id="rId4"/>
    <sheet name="CTC Breakup" sheetId="12" state="hidden" r:id="rId5"/>
    <sheet name="Employee Headcount" sheetId="6" state="hidden" r:id="rId6"/>
    <sheet name="Monthly Payroll" sheetId="13" r:id="rId7"/>
    <sheet name="Pivot Tables - Payroll" sheetId="17" state="hidden" r:id="rId8"/>
    <sheet name="Dashboard for Emp Payroll" sheetId="18" r:id="rId9"/>
    <sheet name="Business Insights for Payroll" sheetId="20" r:id="rId10"/>
  </sheets>
  <definedNames>
    <definedName name="_xlnm._FilterDatabase" localSheetId="4" hidden="1">'CTC Breakup'!$A$1:$O$51</definedName>
    <definedName name="_xlnm._FilterDatabase" localSheetId="5" hidden="1">'Employee Headcount'!$A$1:$G$1</definedName>
    <definedName name="_xlnm._FilterDatabase" localSheetId="0" hidden="1">'Employee Profile'!$A$1:$T$51</definedName>
    <definedName name="_xlnm._FilterDatabase" localSheetId="6" hidden="1">'Monthly Payroll'!$A$1:$V$117</definedName>
    <definedName name="NativeTimeline_Date_Of_Joining">#N/A</definedName>
    <definedName name="Slicer_Department">#N/A</definedName>
    <definedName name="Slicer_Department1">#N/A</definedName>
    <definedName name="Slicer_Gender">#N/A</definedName>
    <definedName name="Slicer_Location">#N/A</definedName>
    <definedName name="Slicer_Payroll_Month">#N/A</definedName>
    <definedName name="Slicer_Status">#N/A</definedName>
    <definedName name="Slicer_Work_Locat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3" l="1"/>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U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Y8" i="13"/>
  <c r="Y6" i="13"/>
  <c r="G2" i="13"/>
  <c r="G3" i="13"/>
  <c r="G4" i="13"/>
  <c r="G5" i="13"/>
  <c r="G6" i="13"/>
  <c r="G7" i="13"/>
  <c r="Y10" i="13" s="1"/>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W9" i="9"/>
  <c r="W7" i="9"/>
  <c r="W5" i="9"/>
  <c r="W3" i="9"/>
  <c r="I2" i="13"/>
  <c r="I3" i="13"/>
  <c r="I4" i="13"/>
  <c r="I5" i="13"/>
  <c r="I6" i="13"/>
  <c r="I7" i="13"/>
  <c r="N7" i="13" s="1"/>
  <c r="I8" i="13"/>
  <c r="I9" i="13"/>
  <c r="O9" i="13" s="1"/>
  <c r="I10" i="13"/>
  <c r="I11" i="13"/>
  <c r="I12" i="13"/>
  <c r="I13" i="13"/>
  <c r="I14" i="13"/>
  <c r="I15" i="13"/>
  <c r="I16" i="13"/>
  <c r="I17" i="13"/>
  <c r="I18" i="13"/>
  <c r="I19" i="13"/>
  <c r="I20" i="13"/>
  <c r="O20" i="13" s="1"/>
  <c r="I21" i="13"/>
  <c r="O21" i="13" s="1"/>
  <c r="I22" i="13"/>
  <c r="I23" i="13"/>
  <c r="I24" i="13"/>
  <c r="N24" i="13" s="1"/>
  <c r="I25" i="13"/>
  <c r="N25" i="13" s="1"/>
  <c r="I26" i="13"/>
  <c r="O26" i="13" s="1"/>
  <c r="I27" i="13"/>
  <c r="I28" i="13"/>
  <c r="I30" i="13"/>
  <c r="I31" i="13"/>
  <c r="I32" i="13"/>
  <c r="O32" i="13" s="1"/>
  <c r="I33" i="13"/>
  <c r="O33" i="13" s="1"/>
  <c r="I34" i="13"/>
  <c r="I35" i="13"/>
  <c r="I36" i="13"/>
  <c r="I37" i="13"/>
  <c r="I38" i="13"/>
  <c r="I39" i="13"/>
  <c r="I40" i="13"/>
  <c r="I41" i="13"/>
  <c r="I42" i="13"/>
  <c r="I43" i="13"/>
  <c r="I44" i="13"/>
  <c r="I45" i="13"/>
  <c r="L45" i="13" s="1"/>
  <c r="I46" i="13"/>
  <c r="K46" i="13" s="1"/>
  <c r="S46" i="13" s="1"/>
  <c r="I47" i="13"/>
  <c r="I48" i="13"/>
  <c r="I49" i="13"/>
  <c r="I50" i="13"/>
  <c r="I52" i="13"/>
  <c r="I53" i="13"/>
  <c r="I54" i="13"/>
  <c r="I55" i="13"/>
  <c r="I56" i="13"/>
  <c r="I57" i="13"/>
  <c r="I58" i="13"/>
  <c r="K58" i="13" s="1"/>
  <c r="S58" i="13" s="1"/>
  <c r="I59" i="13"/>
  <c r="K59" i="13" s="1"/>
  <c r="S59" i="13" s="1"/>
  <c r="I60" i="13"/>
  <c r="I61" i="13"/>
  <c r="I62" i="13"/>
  <c r="I63" i="13"/>
  <c r="I64" i="13"/>
  <c r="I65" i="13"/>
  <c r="O65" i="13" s="1"/>
  <c r="I66" i="13"/>
  <c r="I67" i="13"/>
  <c r="I68" i="13"/>
  <c r="I69" i="13"/>
  <c r="I71" i="13"/>
  <c r="N71" i="13" s="1"/>
  <c r="I72" i="13"/>
  <c r="K72" i="13" s="1"/>
  <c r="S72" i="13" s="1"/>
  <c r="I73" i="13"/>
  <c r="I74" i="13"/>
  <c r="I75" i="13"/>
  <c r="I76" i="13"/>
  <c r="I77" i="13"/>
  <c r="I78" i="13"/>
  <c r="I79" i="13"/>
  <c r="K79" i="13" s="1"/>
  <c r="I80" i="13"/>
  <c r="I81" i="13"/>
  <c r="I82" i="13"/>
  <c r="I83" i="13"/>
  <c r="K83" i="13" s="1"/>
  <c r="I84" i="13"/>
  <c r="I85" i="13"/>
  <c r="I86" i="13"/>
  <c r="I87" i="13"/>
  <c r="I88" i="13"/>
  <c r="I89" i="13"/>
  <c r="L89" i="13" s="1"/>
  <c r="I90" i="13"/>
  <c r="I91" i="13"/>
  <c r="I92" i="13"/>
  <c r="I93" i="13"/>
  <c r="I94" i="13"/>
  <c r="I96" i="13"/>
  <c r="I97" i="13"/>
  <c r="I98" i="13"/>
  <c r="I99" i="13"/>
  <c r="I101" i="13"/>
  <c r="I102" i="13"/>
  <c r="K102" i="13" s="1"/>
  <c r="I103" i="13"/>
  <c r="I104" i="13"/>
  <c r="I105" i="13"/>
  <c r="I106" i="13"/>
  <c r="I107" i="13"/>
  <c r="I108" i="13"/>
  <c r="I109" i="13"/>
  <c r="I110" i="13"/>
  <c r="I111" i="13"/>
  <c r="I112" i="13"/>
  <c r="I113" i="13"/>
  <c r="I114" i="13"/>
  <c r="I115" i="13"/>
  <c r="K115" i="13" s="1"/>
  <c r="I116" i="13"/>
  <c r="I117" i="13"/>
  <c r="N11" i="13"/>
  <c r="N12" i="13"/>
  <c r="N13" i="13"/>
  <c r="N14" i="13"/>
  <c r="O23" i="13"/>
  <c r="O29" i="13"/>
  <c r="O37" i="13"/>
  <c r="O38" i="13"/>
  <c r="K44" i="13"/>
  <c r="S44" i="13" s="1"/>
  <c r="K48" i="13"/>
  <c r="S48" i="13" s="1"/>
  <c r="O49" i="13"/>
  <c r="K56" i="13"/>
  <c r="S56" i="13" s="1"/>
  <c r="L57" i="13"/>
  <c r="K60" i="13"/>
  <c r="S60" i="13" s="1"/>
  <c r="K61" i="13"/>
  <c r="S61" i="13" s="1"/>
  <c r="M63" i="13"/>
  <c r="K70" i="13"/>
  <c r="S70" i="13" s="1"/>
  <c r="N73" i="13"/>
  <c r="K74" i="13"/>
  <c r="S74" i="13" s="1"/>
  <c r="L80" i="13"/>
  <c r="N81" i="13"/>
  <c r="L85" i="13"/>
  <c r="M87" i="13"/>
  <c r="K88" i="13"/>
  <c r="N100" i="13"/>
  <c r="L105" i="13"/>
  <c r="N107" i="13"/>
  <c r="N117" i="13"/>
  <c r="N36" i="13"/>
  <c r="O39" i="13"/>
  <c r="N69" i="13"/>
  <c r="N75" i="13"/>
  <c r="K77" i="13"/>
  <c r="S77" i="13" s="1"/>
  <c r="M82" i="13"/>
  <c r="O92" i="13"/>
  <c r="N103" i="13"/>
  <c r="M112" i="13"/>
  <c r="K113" i="13"/>
  <c r="L114" i="13"/>
  <c r="K10" i="13"/>
  <c r="S10" i="13" s="1"/>
  <c r="K22" i="13"/>
  <c r="S22" i="13" s="1"/>
  <c r="O35" i="13"/>
  <c r="O47" i="13"/>
  <c r="K93" i="13"/>
  <c r="O94" i="13"/>
  <c r="N95" i="13"/>
  <c r="O104" i="13"/>
  <c r="O106" i="13"/>
  <c r="N2" i="13"/>
  <c r="L34" i="13"/>
  <c r="K68" i="13"/>
  <c r="S68" i="13" s="1"/>
  <c r="L99" i="13"/>
  <c r="K101" i="13"/>
  <c r="K55" i="13"/>
  <c r="O6" i="13"/>
  <c r="N8" i="13"/>
  <c r="N19" i="13"/>
  <c r="L43" i="13"/>
  <c r="K111" i="13"/>
  <c r="O18" i="13"/>
  <c r="O28" i="13"/>
  <c r="O41" i="13"/>
  <c r="M51" i="13"/>
  <c r="N53" i="13"/>
  <c r="K67" i="13"/>
  <c r="S67" i="13" s="1"/>
  <c r="N78" i="13"/>
  <c r="O90" i="13"/>
  <c r="K91" i="13"/>
  <c r="K100" i="13"/>
  <c r="S100" i="13" s="1"/>
  <c r="K116" i="13"/>
  <c r="O4" i="13"/>
  <c r="L51" i="13"/>
  <c r="O16" i="13"/>
  <c r="O15" i="13"/>
  <c r="M90" i="13"/>
  <c r="N90" i="13"/>
  <c r="L91" i="13"/>
  <c r="M91" i="13"/>
  <c r="O100" i="13"/>
  <c r="O78" i="13"/>
  <c r="M78" i="13"/>
  <c r="L78" i="13"/>
  <c r="K78" i="13"/>
  <c r="S78" i="13" s="1"/>
  <c r="Q41" i="13"/>
  <c r="O51" i="13"/>
  <c r="M29" i="13"/>
  <c r="K42" i="13"/>
  <c r="S42" i="13" s="1"/>
  <c r="O3" i="13"/>
  <c r="M5" i="13"/>
  <c r="M17" i="13"/>
  <c r="O27" i="13"/>
  <c r="O30" i="13"/>
  <c r="O31" i="13"/>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2"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2" i="12"/>
  <c r="N3" i="12"/>
  <c r="H3" i="12" s="1"/>
  <c r="I3" i="12" s="1"/>
  <c r="N4" i="12"/>
  <c r="H4" i="12" s="1"/>
  <c r="I4" i="12" s="1"/>
  <c r="N5" i="12"/>
  <c r="H5" i="12" s="1"/>
  <c r="I5" i="12" s="1"/>
  <c r="N6" i="12"/>
  <c r="H6" i="12" s="1"/>
  <c r="I6" i="12" s="1"/>
  <c r="N7" i="12"/>
  <c r="H7" i="12" s="1"/>
  <c r="I7" i="12" s="1"/>
  <c r="N8" i="12"/>
  <c r="H8" i="12" s="1"/>
  <c r="I8" i="12" s="1"/>
  <c r="N9" i="12"/>
  <c r="H9" i="12" s="1"/>
  <c r="I9" i="12" s="1"/>
  <c r="N10" i="12"/>
  <c r="H10" i="12" s="1"/>
  <c r="I10" i="12" s="1"/>
  <c r="N11" i="12"/>
  <c r="H11" i="12" s="1"/>
  <c r="I11" i="12" s="1"/>
  <c r="N12" i="12"/>
  <c r="H12" i="12" s="1"/>
  <c r="I12" i="12" s="1"/>
  <c r="N13" i="12"/>
  <c r="H13" i="12" s="1"/>
  <c r="I13" i="12" s="1"/>
  <c r="N14" i="12"/>
  <c r="H14" i="12" s="1"/>
  <c r="I14" i="12" s="1"/>
  <c r="N15" i="12"/>
  <c r="H15" i="12" s="1"/>
  <c r="I15" i="12" s="1"/>
  <c r="N16" i="12"/>
  <c r="H16" i="12" s="1"/>
  <c r="I16" i="12" s="1"/>
  <c r="N17" i="12"/>
  <c r="H17" i="12" s="1"/>
  <c r="I17" i="12" s="1"/>
  <c r="N18" i="12"/>
  <c r="H18" i="12" s="1"/>
  <c r="I18" i="12" s="1"/>
  <c r="N19" i="12"/>
  <c r="H19" i="12" s="1"/>
  <c r="I19" i="12" s="1"/>
  <c r="N20" i="12"/>
  <c r="H20" i="12" s="1"/>
  <c r="I20" i="12" s="1"/>
  <c r="N21" i="12"/>
  <c r="H21" i="12" s="1"/>
  <c r="I21" i="12" s="1"/>
  <c r="N22" i="12"/>
  <c r="H22" i="12" s="1"/>
  <c r="I22" i="12" s="1"/>
  <c r="N23" i="12"/>
  <c r="H23" i="12" s="1"/>
  <c r="I23" i="12" s="1"/>
  <c r="N24" i="12"/>
  <c r="H24" i="12" s="1"/>
  <c r="I24" i="12" s="1"/>
  <c r="N25" i="12"/>
  <c r="H25" i="12" s="1"/>
  <c r="I25" i="12" s="1"/>
  <c r="N26" i="12"/>
  <c r="H26" i="12" s="1"/>
  <c r="I26" i="12" s="1"/>
  <c r="N27" i="12"/>
  <c r="H27" i="12" s="1"/>
  <c r="I27" i="12" s="1"/>
  <c r="N28" i="12"/>
  <c r="H28" i="12" s="1"/>
  <c r="I28" i="12" s="1"/>
  <c r="N29" i="12"/>
  <c r="H29" i="12" s="1"/>
  <c r="I29" i="12" s="1"/>
  <c r="N30" i="12"/>
  <c r="H30" i="12" s="1"/>
  <c r="I30" i="12" s="1"/>
  <c r="N31" i="12"/>
  <c r="H31" i="12" s="1"/>
  <c r="I31" i="12" s="1"/>
  <c r="N32" i="12"/>
  <c r="H32" i="12" s="1"/>
  <c r="I32" i="12" s="1"/>
  <c r="N33" i="12"/>
  <c r="H33" i="12" s="1"/>
  <c r="I33" i="12" s="1"/>
  <c r="N34" i="12"/>
  <c r="H34" i="12" s="1"/>
  <c r="I34" i="12" s="1"/>
  <c r="N35" i="12"/>
  <c r="H35" i="12" s="1"/>
  <c r="I35" i="12" s="1"/>
  <c r="N36" i="12"/>
  <c r="H36" i="12" s="1"/>
  <c r="I36" i="12" s="1"/>
  <c r="N37" i="12"/>
  <c r="H37" i="12" s="1"/>
  <c r="I37" i="12" s="1"/>
  <c r="N38" i="12"/>
  <c r="H38" i="12" s="1"/>
  <c r="I38" i="12" s="1"/>
  <c r="N39" i="12"/>
  <c r="H39" i="12" s="1"/>
  <c r="I39" i="12" s="1"/>
  <c r="N40" i="12"/>
  <c r="H40" i="12" s="1"/>
  <c r="I40" i="12" s="1"/>
  <c r="N41" i="12"/>
  <c r="H41" i="12" s="1"/>
  <c r="I41" i="12" s="1"/>
  <c r="N42" i="12"/>
  <c r="H42" i="12" s="1"/>
  <c r="I42" i="12" s="1"/>
  <c r="N43" i="12"/>
  <c r="H43" i="12" s="1"/>
  <c r="I43" i="12" s="1"/>
  <c r="N44" i="12"/>
  <c r="H44" i="12" s="1"/>
  <c r="I44" i="12" s="1"/>
  <c r="N45" i="12"/>
  <c r="H45" i="12" s="1"/>
  <c r="I45" i="12" s="1"/>
  <c r="N46" i="12"/>
  <c r="H46" i="12" s="1"/>
  <c r="I46" i="12" s="1"/>
  <c r="N47" i="12"/>
  <c r="H47" i="12" s="1"/>
  <c r="I47" i="12" s="1"/>
  <c r="N48" i="12"/>
  <c r="H48" i="12" s="1"/>
  <c r="I48" i="12" s="1"/>
  <c r="N49" i="12"/>
  <c r="H49" i="12" s="1"/>
  <c r="I49" i="12" s="1"/>
  <c r="N50" i="12"/>
  <c r="H50" i="12" s="1"/>
  <c r="I50" i="12" s="1"/>
  <c r="N51" i="12"/>
  <c r="H51" i="12" s="1"/>
  <c r="I51" i="12" s="1"/>
  <c r="N2" i="12"/>
  <c r="H2" i="12" s="1"/>
  <c r="I2" i="12" s="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2" i="9"/>
  <c r="N29" i="13" l="1"/>
  <c r="K104" i="13"/>
  <c r="S104" i="13" s="1"/>
  <c r="L112" i="13"/>
  <c r="O80" i="13"/>
  <c r="K92" i="13"/>
  <c r="S92" i="13" s="1"/>
  <c r="N91" i="13"/>
  <c r="K90" i="13"/>
  <c r="S90" i="13" s="1"/>
  <c r="K112" i="13"/>
  <c r="S112" i="13" s="1"/>
  <c r="L90" i="13"/>
  <c r="K29" i="13"/>
  <c r="S29" i="13" s="1"/>
  <c r="M99" i="13"/>
  <c r="N94" i="13"/>
  <c r="N93" i="13"/>
  <c r="L100" i="13"/>
  <c r="K107" i="13"/>
  <c r="S107" i="13" s="1"/>
  <c r="M100" i="13"/>
  <c r="K105" i="13"/>
  <c r="S105" i="13" s="1"/>
  <c r="N104" i="13"/>
  <c r="N51" i="13"/>
  <c r="N80" i="13"/>
  <c r="M117" i="13"/>
  <c r="M80" i="13"/>
  <c r="N92" i="13"/>
  <c r="N79" i="13"/>
  <c r="O116" i="13"/>
  <c r="M92" i="13"/>
  <c r="L79" i="13"/>
  <c r="L117" i="13"/>
  <c r="K117" i="13"/>
  <c r="S117" i="13" s="1"/>
  <c r="M104" i="13"/>
  <c r="N116" i="13"/>
  <c r="L29" i="13"/>
  <c r="M116" i="13"/>
  <c r="M81" i="13"/>
  <c r="L93" i="13"/>
  <c r="L81" i="13"/>
  <c r="N105" i="13"/>
  <c r="M105" i="13"/>
  <c r="K81" i="13"/>
  <c r="S81" i="13" s="1"/>
  <c r="M89" i="13"/>
  <c r="N101" i="13"/>
  <c r="L111" i="13"/>
  <c r="N112" i="13"/>
  <c r="K87" i="13"/>
  <c r="S87" i="13" s="1"/>
  <c r="M111" i="13"/>
  <c r="R78" i="13"/>
  <c r="T78" i="13" s="1"/>
  <c r="M114" i="13"/>
  <c r="N114" i="13"/>
  <c r="L87" i="13"/>
  <c r="O82" i="13"/>
  <c r="L95" i="13"/>
  <c r="K95" i="13"/>
  <c r="S95" i="13" s="1"/>
  <c r="M107" i="13"/>
  <c r="N83" i="13"/>
  <c r="K51" i="13"/>
  <c r="S51" i="13" s="1"/>
  <c r="L107" i="13"/>
  <c r="O99" i="13"/>
  <c r="N99" i="13"/>
  <c r="N106" i="13"/>
  <c r="M95" i="13"/>
  <c r="O111" i="13"/>
  <c r="M83" i="13"/>
  <c r="N111" i="13"/>
  <c r="O101" i="13"/>
  <c r="K99" i="13"/>
  <c r="S99" i="13" s="1"/>
  <c r="L83" i="13"/>
  <c r="M79" i="13"/>
  <c r="S102" i="13"/>
  <c r="S88" i="13"/>
  <c r="M103" i="13"/>
  <c r="M101" i="13"/>
  <c r="O88" i="13"/>
  <c r="O113" i="13"/>
  <c r="L103" i="13"/>
  <c r="L101" i="13"/>
  <c r="M93" i="13"/>
  <c r="N88" i="13"/>
  <c r="K114" i="13"/>
  <c r="N113" i="13"/>
  <c r="M88" i="13"/>
  <c r="M115" i="13"/>
  <c r="M113" i="13"/>
  <c r="L88" i="13"/>
  <c r="N115" i="13"/>
  <c r="K89" i="13"/>
  <c r="S89" i="13" s="1"/>
  <c r="K103" i="13"/>
  <c r="S103" i="13" s="1"/>
  <c r="L115" i="13"/>
  <c r="L113" i="13"/>
  <c r="O102" i="13"/>
  <c r="N102" i="13"/>
  <c r="M102" i="13"/>
  <c r="O89" i="13"/>
  <c r="O87" i="13"/>
  <c r="O114" i="13"/>
  <c r="O112" i="13"/>
  <c r="L102" i="13"/>
  <c r="N89" i="13"/>
  <c r="N87" i="13"/>
  <c r="N109" i="13"/>
  <c r="O109" i="13"/>
  <c r="S113" i="13"/>
  <c r="O84" i="13"/>
  <c r="N84" i="13"/>
  <c r="K84" i="13"/>
  <c r="M84" i="13"/>
  <c r="L84" i="13"/>
  <c r="N85" i="13"/>
  <c r="O85" i="13"/>
  <c r="S115" i="13"/>
  <c r="S101" i="13"/>
  <c r="N96" i="13"/>
  <c r="K96" i="13"/>
  <c r="L96" i="13"/>
  <c r="M96" i="13"/>
  <c r="O96" i="13"/>
  <c r="M85" i="13"/>
  <c r="S93" i="13"/>
  <c r="N110" i="13"/>
  <c r="O110" i="13"/>
  <c r="K110" i="13"/>
  <c r="L110" i="13"/>
  <c r="M110" i="13"/>
  <c r="K98" i="13"/>
  <c r="L98" i="13"/>
  <c r="M98" i="13"/>
  <c r="N98" i="13"/>
  <c r="O98" i="13"/>
  <c r="K86" i="13"/>
  <c r="L86" i="13"/>
  <c r="M86" i="13"/>
  <c r="N86" i="13"/>
  <c r="O86" i="13"/>
  <c r="S79" i="13"/>
  <c r="N97" i="13"/>
  <c r="O97" i="13"/>
  <c r="S111" i="13"/>
  <c r="S91" i="13"/>
  <c r="N108" i="13"/>
  <c r="K108" i="13"/>
  <c r="L108" i="13"/>
  <c r="M108" i="13"/>
  <c r="O108" i="13"/>
  <c r="M109" i="13"/>
  <c r="M97" i="13"/>
  <c r="L109" i="13"/>
  <c r="L97" i="13"/>
  <c r="K85" i="13"/>
  <c r="S116" i="13"/>
  <c r="K109" i="13"/>
  <c r="K97" i="13"/>
  <c r="S83" i="13"/>
  <c r="M106" i="13"/>
  <c r="N82" i="13"/>
  <c r="M94" i="13"/>
  <c r="L116" i="13"/>
  <c r="L106" i="13"/>
  <c r="L104" i="13"/>
  <c r="L94" i="13"/>
  <c r="L92" i="13"/>
  <c r="L82" i="13"/>
  <c r="K106" i="13"/>
  <c r="K94" i="13"/>
  <c r="K82" i="13"/>
  <c r="K80" i="13"/>
  <c r="M70" i="13"/>
  <c r="O70" i="13"/>
  <c r="N70" i="13"/>
  <c r="L70" i="13"/>
  <c r="O117" i="13"/>
  <c r="O115" i="13"/>
  <c r="O107" i="13"/>
  <c r="O105" i="13"/>
  <c r="O103" i="13"/>
  <c r="O95" i="13"/>
  <c r="O93" i="13"/>
  <c r="O91" i="13"/>
  <c r="O83" i="13"/>
  <c r="O81" i="13"/>
  <c r="O79" i="13"/>
  <c r="S55" i="13"/>
  <c r="O46" i="13"/>
  <c r="N46" i="13"/>
  <c r="K45" i="13"/>
  <c r="O57" i="13"/>
  <c r="N57" i="13"/>
  <c r="O72" i="13"/>
  <c r="M57" i="13"/>
  <c r="N72" i="13"/>
  <c r="M69" i="13"/>
  <c r="L69" i="13"/>
  <c r="O59" i="13"/>
  <c r="O43" i="13"/>
  <c r="M71" i="13"/>
  <c r="K69" i="13"/>
  <c r="N59" i="13"/>
  <c r="O53" i="13"/>
  <c r="N47" i="13"/>
  <c r="N43" i="13"/>
  <c r="L71" i="13"/>
  <c r="M59" i="13"/>
  <c r="M47" i="13"/>
  <c r="K71" i="13"/>
  <c r="L59" i="13"/>
  <c r="L47" i="13"/>
  <c r="O77" i="13"/>
  <c r="K47" i="13"/>
  <c r="M73" i="13"/>
  <c r="L73" i="13"/>
  <c r="K73" i="13"/>
  <c r="O48" i="13"/>
  <c r="N48" i="13"/>
  <c r="M48" i="13"/>
  <c r="N61" i="13"/>
  <c r="M61" i="13"/>
  <c r="N74" i="13"/>
  <c r="N60" i="13"/>
  <c r="O73" i="13"/>
  <c r="M60" i="13"/>
  <c r="K57" i="13"/>
  <c r="O61" i="13"/>
  <c r="L48" i="13"/>
  <c r="O74" i="13"/>
  <c r="O60" i="13"/>
  <c r="M43" i="13"/>
  <c r="O63" i="13"/>
  <c r="N63" i="13"/>
  <c r="N49" i="13"/>
  <c r="O75" i="13"/>
  <c r="M49" i="13"/>
  <c r="N55" i="13"/>
  <c r="N45" i="13"/>
  <c r="M53" i="13"/>
  <c r="O67" i="13"/>
  <c r="M75" i="13"/>
  <c r="K43" i="13"/>
  <c r="O45" i="13"/>
  <c r="M74" i="13"/>
  <c r="O71" i="13"/>
  <c r="O69" i="13"/>
  <c r="L61" i="13"/>
  <c r="M55" i="13"/>
  <c r="M45" i="13"/>
  <c r="N67" i="13"/>
  <c r="M67" i="13"/>
  <c r="L67" i="13"/>
  <c r="O55" i="13"/>
  <c r="L74" i="13"/>
  <c r="O58" i="13"/>
  <c r="L55" i="13"/>
  <c r="K49" i="13"/>
  <c r="L49" i="13"/>
  <c r="K62" i="13"/>
  <c r="L62" i="13"/>
  <c r="M62" i="13"/>
  <c r="N62" i="13"/>
  <c r="O62" i="13"/>
  <c r="L75" i="13"/>
  <c r="K75" i="13"/>
  <c r="K50" i="13"/>
  <c r="L50" i="13"/>
  <c r="M50" i="13"/>
  <c r="N50" i="13"/>
  <c r="O50" i="13"/>
  <c r="K76" i="13"/>
  <c r="L76" i="13"/>
  <c r="M76" i="13"/>
  <c r="N76" i="13"/>
  <c r="O76" i="13"/>
  <c r="K52" i="13"/>
  <c r="L52" i="13"/>
  <c r="M52" i="13"/>
  <c r="N52" i="13"/>
  <c r="O52" i="13"/>
  <c r="K64" i="13"/>
  <c r="L64" i="13"/>
  <c r="M64" i="13"/>
  <c r="N64" i="13"/>
  <c r="O64" i="13"/>
  <c r="N77" i="13"/>
  <c r="K40" i="13"/>
  <c r="L40" i="13"/>
  <c r="M40" i="13"/>
  <c r="N40" i="13"/>
  <c r="O40" i="13"/>
  <c r="K53" i="13"/>
  <c r="L53" i="13"/>
  <c r="K65" i="13"/>
  <c r="L65" i="13"/>
  <c r="M77" i="13"/>
  <c r="N65" i="13"/>
  <c r="K41" i="13"/>
  <c r="L41" i="13"/>
  <c r="K54" i="13"/>
  <c r="L54" i="13"/>
  <c r="M54" i="13"/>
  <c r="N54" i="13"/>
  <c r="O54" i="13"/>
  <c r="K66" i="13"/>
  <c r="L66" i="13"/>
  <c r="M66" i="13"/>
  <c r="N66" i="13"/>
  <c r="O66" i="13"/>
  <c r="L77" i="13"/>
  <c r="M65" i="13"/>
  <c r="M41" i="13"/>
  <c r="K63" i="13"/>
  <c r="L63" i="13"/>
  <c r="N41" i="13"/>
  <c r="O68" i="13"/>
  <c r="O56" i="13"/>
  <c r="O44" i="13"/>
  <c r="O42" i="13"/>
  <c r="N68" i="13"/>
  <c r="N58" i="13"/>
  <c r="N56" i="13"/>
  <c r="N44" i="13"/>
  <c r="N42" i="13"/>
  <c r="M72" i="13"/>
  <c r="M68" i="13"/>
  <c r="M58" i="13"/>
  <c r="M56" i="13"/>
  <c r="M46" i="13"/>
  <c r="M44" i="13"/>
  <c r="M42" i="13"/>
  <c r="L72" i="13"/>
  <c r="L68" i="13"/>
  <c r="L60" i="13"/>
  <c r="L58" i="13"/>
  <c r="L56" i="13"/>
  <c r="L46" i="13"/>
  <c r="L44" i="13"/>
  <c r="L42" i="13"/>
  <c r="K39" i="13"/>
  <c r="S39" i="13" s="1"/>
  <c r="L39" i="13"/>
  <c r="M39" i="13"/>
  <c r="N39" i="13"/>
  <c r="O7" i="13"/>
  <c r="K32" i="13"/>
  <c r="S32" i="13" s="1"/>
  <c r="L32" i="13"/>
  <c r="K33" i="13"/>
  <c r="S33" i="13" s="1"/>
  <c r="K8" i="13"/>
  <c r="S8" i="13" s="1"/>
  <c r="K13" i="13"/>
  <c r="S13" i="13" s="1"/>
  <c r="K21" i="13"/>
  <c r="S21" i="13" s="1"/>
  <c r="M3" i="13"/>
  <c r="L14" i="13"/>
  <c r="M22" i="13"/>
  <c r="L8" i="13"/>
  <c r="O8" i="13"/>
  <c r="K9" i="13"/>
  <c r="L10" i="13"/>
  <c r="N22" i="13"/>
  <c r="M23" i="13"/>
  <c r="M11" i="13"/>
  <c r="O13" i="13"/>
  <c r="L22" i="13"/>
  <c r="O24" i="13"/>
  <c r="O12" i="13"/>
  <c r="O14" i="13"/>
  <c r="K15" i="13"/>
  <c r="S15" i="13" s="1"/>
  <c r="L2" i="13"/>
  <c r="M10" i="13"/>
  <c r="L15" i="13"/>
  <c r="O25" i="13"/>
  <c r="M34" i="13"/>
  <c r="M14" i="13"/>
  <c r="M2" i="13"/>
  <c r="N10" i="13"/>
  <c r="M15" i="13"/>
  <c r="K27" i="13"/>
  <c r="S27" i="13" s="1"/>
  <c r="N34" i="13"/>
  <c r="O2" i="13"/>
  <c r="L11" i="13"/>
  <c r="O19" i="13"/>
  <c r="L27" i="13"/>
  <c r="O36" i="13"/>
  <c r="K25" i="13"/>
  <c r="K3" i="13"/>
  <c r="K20" i="13"/>
  <c r="S20" i="13" s="1"/>
  <c r="M27" i="13"/>
  <c r="K37" i="13"/>
  <c r="L3" i="13"/>
  <c r="O11" i="13"/>
  <c r="L20" i="13"/>
  <c r="N3" i="13"/>
  <c r="K6" i="13"/>
  <c r="M8" i="13"/>
  <c r="O10" i="13"/>
  <c r="L13" i="13"/>
  <c r="N15" i="13"/>
  <c r="K18" i="13"/>
  <c r="S18" i="13" s="1"/>
  <c r="M20" i="13"/>
  <c r="O22" i="13"/>
  <c r="L25" i="13"/>
  <c r="N27" i="13"/>
  <c r="K30" i="13"/>
  <c r="S30" i="13" s="1"/>
  <c r="M32" i="13"/>
  <c r="O34" i="13"/>
  <c r="L37" i="13"/>
  <c r="N17" i="13"/>
  <c r="O17" i="13"/>
  <c r="L6" i="13"/>
  <c r="K11" i="13"/>
  <c r="M13" i="13"/>
  <c r="L18" i="13"/>
  <c r="N20" i="13"/>
  <c r="K23" i="13"/>
  <c r="S23" i="13" s="1"/>
  <c r="M25" i="13"/>
  <c r="L30" i="13"/>
  <c r="N32" i="13"/>
  <c r="K35" i="13"/>
  <c r="M37" i="13"/>
  <c r="N5" i="13"/>
  <c r="K4" i="13"/>
  <c r="M6" i="13"/>
  <c r="K16" i="13"/>
  <c r="M18" i="13"/>
  <c r="L23" i="13"/>
  <c r="K28" i="13"/>
  <c r="M30" i="13"/>
  <c r="L35" i="13"/>
  <c r="N37" i="13"/>
  <c r="O5" i="13"/>
  <c r="L4" i="13"/>
  <c r="L16" i="13"/>
  <c r="N18" i="13"/>
  <c r="L28" i="13"/>
  <c r="N30" i="13"/>
  <c r="M35" i="13"/>
  <c r="N6" i="13"/>
  <c r="K2" i="13"/>
  <c r="M4" i="13"/>
  <c r="L9" i="13"/>
  <c r="K14" i="13"/>
  <c r="S14" i="13" s="1"/>
  <c r="M16" i="13"/>
  <c r="L21" i="13"/>
  <c r="N23" i="13"/>
  <c r="K26" i="13"/>
  <c r="M28" i="13"/>
  <c r="L33" i="13"/>
  <c r="N35" i="13"/>
  <c r="K38" i="13"/>
  <c r="S38" i="13" s="1"/>
  <c r="N4" i="13"/>
  <c r="K7" i="13"/>
  <c r="M9" i="13"/>
  <c r="N16" i="13"/>
  <c r="K19" i="13"/>
  <c r="M21" i="13"/>
  <c r="L26" i="13"/>
  <c r="N28" i="13"/>
  <c r="K31" i="13"/>
  <c r="M33" i="13"/>
  <c r="L38" i="13"/>
  <c r="L7" i="13"/>
  <c r="N9" i="13"/>
  <c r="K12" i="13"/>
  <c r="L19" i="13"/>
  <c r="N21" i="13"/>
  <c r="K24" i="13"/>
  <c r="S24" i="13" s="1"/>
  <c r="M26" i="13"/>
  <c r="L31" i="13"/>
  <c r="N33" i="13"/>
  <c r="K36" i="13"/>
  <c r="M38" i="13"/>
  <c r="K5" i="13"/>
  <c r="M7" i="13"/>
  <c r="L12" i="13"/>
  <c r="K17" i="13"/>
  <c r="S17" i="13" s="1"/>
  <c r="M19" i="13"/>
  <c r="L24" i="13"/>
  <c r="N26" i="13"/>
  <c r="M31" i="13"/>
  <c r="L36" i="13"/>
  <c r="N38" i="13"/>
  <c r="L5" i="13"/>
  <c r="M12" i="13"/>
  <c r="L17" i="13"/>
  <c r="M24" i="13"/>
  <c r="N31" i="13"/>
  <c r="K34" i="13"/>
  <c r="M36" i="13"/>
  <c r="R29" i="13" l="1"/>
  <c r="T29" i="13" s="1"/>
  <c r="V29" i="13" s="1"/>
  <c r="R91" i="13"/>
  <c r="T91" i="13" s="1"/>
  <c r="V91" i="13" s="1"/>
  <c r="R90" i="13"/>
  <c r="T90" i="13" s="1"/>
  <c r="R92" i="13"/>
  <c r="T92" i="13" s="1"/>
  <c r="V92" i="13" s="1"/>
  <c r="R100" i="13"/>
  <c r="T100" i="13" s="1"/>
  <c r="V100" i="13" s="1"/>
  <c r="R51" i="13"/>
  <c r="T51" i="13" s="1"/>
  <c r="V51" i="13" s="1"/>
  <c r="R107" i="13"/>
  <c r="T107" i="13" s="1"/>
  <c r="V107" i="13" s="1"/>
  <c r="R112" i="13"/>
  <c r="T112" i="13" s="1"/>
  <c r="V112" i="13" s="1"/>
  <c r="R117" i="13"/>
  <c r="T117" i="13" s="1"/>
  <c r="V117" i="13" s="1"/>
  <c r="R99" i="13"/>
  <c r="T99" i="13" s="1"/>
  <c r="V99" i="13" s="1"/>
  <c r="R79" i="13"/>
  <c r="T79" i="13" s="1"/>
  <c r="V79" i="13" s="1"/>
  <c r="R116" i="13"/>
  <c r="T116" i="13" s="1"/>
  <c r="V116" i="13" s="1"/>
  <c r="R104" i="13"/>
  <c r="T104" i="13" s="1"/>
  <c r="V104" i="13" s="1"/>
  <c r="R81" i="13"/>
  <c r="T81" i="13" s="1"/>
  <c r="V81" i="13" s="1"/>
  <c r="R105" i="13"/>
  <c r="T105" i="13" s="1"/>
  <c r="V105" i="13" s="1"/>
  <c r="R61" i="13"/>
  <c r="T61" i="13" s="1"/>
  <c r="V61" i="13" s="1"/>
  <c r="R87" i="13"/>
  <c r="T87" i="13" s="1"/>
  <c r="V87" i="13" s="1"/>
  <c r="V78" i="13"/>
  <c r="R68" i="13"/>
  <c r="T68" i="13" s="1"/>
  <c r="V68" i="13" s="1"/>
  <c r="R111" i="13"/>
  <c r="T111" i="13" s="1"/>
  <c r="V111" i="13" s="1"/>
  <c r="R113" i="13"/>
  <c r="T113" i="13" s="1"/>
  <c r="V113" i="13" s="1"/>
  <c r="R83" i="13"/>
  <c r="T83" i="13" s="1"/>
  <c r="V83" i="13" s="1"/>
  <c r="R101" i="13"/>
  <c r="T101" i="13" s="1"/>
  <c r="V101" i="13" s="1"/>
  <c r="R88" i="13"/>
  <c r="T88" i="13" s="1"/>
  <c r="V88" i="13" s="1"/>
  <c r="R115" i="13"/>
  <c r="T115" i="13" s="1"/>
  <c r="V115" i="13" s="1"/>
  <c r="R102" i="13"/>
  <c r="T102" i="13" s="1"/>
  <c r="V102" i="13" s="1"/>
  <c r="R95" i="13"/>
  <c r="T95" i="13" s="1"/>
  <c r="V95" i="13" s="1"/>
  <c r="R89" i="13"/>
  <c r="T89" i="13" s="1"/>
  <c r="V89" i="13" s="1"/>
  <c r="R93" i="13"/>
  <c r="T93" i="13" s="1"/>
  <c r="V93" i="13" s="1"/>
  <c r="R103" i="13"/>
  <c r="T103" i="13" s="1"/>
  <c r="V103" i="13" s="1"/>
  <c r="R72" i="13"/>
  <c r="T72" i="13" s="1"/>
  <c r="V72" i="13" s="1"/>
  <c r="R44" i="13"/>
  <c r="T44" i="13" s="1"/>
  <c r="V44" i="13" s="1"/>
  <c r="R114" i="13"/>
  <c r="S114" i="13"/>
  <c r="R42" i="13"/>
  <c r="T42" i="13" s="1"/>
  <c r="V42" i="13" s="1"/>
  <c r="R94" i="13"/>
  <c r="T94" i="13" s="1"/>
  <c r="S94" i="13"/>
  <c r="R97" i="13"/>
  <c r="S97" i="13"/>
  <c r="S109" i="13"/>
  <c r="R109" i="13"/>
  <c r="S86" i="13"/>
  <c r="R86" i="13"/>
  <c r="R55" i="13"/>
  <c r="T55" i="13" s="1"/>
  <c r="V55" i="13" s="1"/>
  <c r="R85" i="13"/>
  <c r="S85" i="13"/>
  <c r="R70" i="13"/>
  <c r="T70" i="13" s="1"/>
  <c r="V70" i="13" s="1"/>
  <c r="R67" i="13"/>
  <c r="T67" i="13" s="1"/>
  <c r="V67" i="13" s="1"/>
  <c r="R108" i="13"/>
  <c r="S108" i="13"/>
  <c r="R98" i="13"/>
  <c r="S98" i="13"/>
  <c r="R80" i="13"/>
  <c r="S80" i="13"/>
  <c r="R110" i="13"/>
  <c r="S110" i="13"/>
  <c r="R106" i="13"/>
  <c r="T106" i="13" s="1"/>
  <c r="S106" i="13"/>
  <c r="R96" i="13"/>
  <c r="S96" i="13"/>
  <c r="R60" i="13"/>
  <c r="T60" i="13" s="1"/>
  <c r="V60" i="13" s="1"/>
  <c r="R56" i="13"/>
  <c r="T56" i="13" s="1"/>
  <c r="V56" i="13" s="1"/>
  <c r="R77" i="13"/>
  <c r="T77" i="13" s="1"/>
  <c r="R82" i="13"/>
  <c r="T82" i="13" s="1"/>
  <c r="S82" i="13"/>
  <c r="R84" i="13"/>
  <c r="S84" i="13"/>
  <c r="S69" i="13"/>
  <c r="R69" i="13"/>
  <c r="S76" i="13"/>
  <c r="R76" i="13"/>
  <c r="T76" i="13" s="1"/>
  <c r="S66" i="13"/>
  <c r="R66" i="13"/>
  <c r="T66" i="13" s="1"/>
  <c r="R71" i="13"/>
  <c r="T71" i="13" s="1"/>
  <c r="S71" i="13"/>
  <c r="S50" i="13"/>
  <c r="R50" i="13"/>
  <c r="R46" i="13"/>
  <c r="T46" i="13" s="1"/>
  <c r="V46" i="13" s="1"/>
  <c r="S63" i="13"/>
  <c r="R63" i="13"/>
  <c r="T63" i="13" s="1"/>
  <c r="S75" i="13"/>
  <c r="R75" i="13"/>
  <c r="S45" i="13"/>
  <c r="R45" i="13"/>
  <c r="S65" i="13"/>
  <c r="R65" i="13"/>
  <c r="R59" i="13"/>
  <c r="S64" i="13"/>
  <c r="R64" i="13"/>
  <c r="T64" i="13" s="1"/>
  <c r="S49" i="13"/>
  <c r="R49" i="13"/>
  <c r="T49" i="13" s="1"/>
  <c r="R53" i="13"/>
  <c r="S53" i="13"/>
  <c r="R43" i="13"/>
  <c r="T43" i="13" s="1"/>
  <c r="S43" i="13"/>
  <c r="S54" i="13"/>
  <c r="R54" i="13"/>
  <c r="S52" i="13"/>
  <c r="R52" i="13"/>
  <c r="T52" i="13" s="1"/>
  <c r="R48" i="13"/>
  <c r="S73" i="13"/>
  <c r="R73" i="13"/>
  <c r="T73" i="13" s="1"/>
  <c r="S41" i="13"/>
  <c r="R41" i="13"/>
  <c r="S57" i="13"/>
  <c r="R57" i="13"/>
  <c r="S47" i="13"/>
  <c r="R47" i="13"/>
  <c r="S62" i="13"/>
  <c r="R62" i="13"/>
  <c r="R74" i="13"/>
  <c r="R58" i="13"/>
  <c r="S40" i="13"/>
  <c r="R40" i="13"/>
  <c r="T40" i="13" s="1"/>
  <c r="R39" i="13"/>
  <c r="T39" i="13" s="1"/>
  <c r="V39" i="13" s="1"/>
  <c r="R21" i="13"/>
  <c r="R13" i="13"/>
  <c r="T13" i="13" s="1"/>
  <c r="V13" i="13" s="1"/>
  <c r="S36" i="13"/>
  <c r="R36" i="13"/>
  <c r="R11" i="13"/>
  <c r="T11" i="13" s="1"/>
  <c r="S11" i="13"/>
  <c r="S26" i="13"/>
  <c r="R26" i="13"/>
  <c r="T26" i="13" s="1"/>
  <c r="R25" i="13"/>
  <c r="T25" i="13" s="1"/>
  <c r="S25" i="13"/>
  <c r="R19" i="13"/>
  <c r="S19" i="13"/>
  <c r="R14" i="13"/>
  <c r="T14" i="13" s="1"/>
  <c r="S6" i="13"/>
  <c r="R6" i="13"/>
  <c r="R9" i="13"/>
  <c r="S9" i="13"/>
  <c r="R17" i="13"/>
  <c r="T17" i="13" s="1"/>
  <c r="S28" i="13"/>
  <c r="R28" i="13"/>
  <c r="R38" i="13"/>
  <c r="R27" i="13"/>
  <c r="T27" i="13" s="1"/>
  <c r="R31" i="13"/>
  <c r="S31" i="13"/>
  <c r="R18" i="13"/>
  <c r="T18" i="13" s="1"/>
  <c r="R4" i="13"/>
  <c r="S4" i="13"/>
  <c r="S3" i="13"/>
  <c r="R3" i="13"/>
  <c r="R35" i="13"/>
  <c r="S35" i="13"/>
  <c r="R10" i="13"/>
  <c r="S12" i="13"/>
  <c r="R12" i="13"/>
  <c r="T12" i="13" s="1"/>
  <c r="R30" i="13"/>
  <c r="T30" i="13" s="1"/>
  <c r="S2" i="13"/>
  <c r="R2" i="13"/>
  <c r="R23" i="13"/>
  <c r="T23" i="13" s="1"/>
  <c r="R8" i="13"/>
  <c r="S5" i="13"/>
  <c r="R5" i="13"/>
  <c r="S37" i="13"/>
  <c r="R37" i="13"/>
  <c r="T37" i="13" s="1"/>
  <c r="R20" i="13"/>
  <c r="T20" i="13" s="1"/>
  <c r="R24" i="13"/>
  <c r="R32" i="13"/>
  <c r="R34" i="13"/>
  <c r="S34" i="13"/>
  <c r="R7" i="13"/>
  <c r="S7" i="13"/>
  <c r="R15" i="13"/>
  <c r="T15" i="13" s="1"/>
  <c r="R33" i="13"/>
  <c r="S16" i="13"/>
  <c r="R16" i="13"/>
  <c r="R22" i="13"/>
  <c r="T2" i="13" l="1"/>
  <c r="V2" i="13" s="1"/>
  <c r="Y4" i="13"/>
  <c r="V90" i="13"/>
  <c r="V26" i="13"/>
  <c r="V37" i="13"/>
  <c r="V64" i="13"/>
  <c r="V40" i="13"/>
  <c r="V73" i="13"/>
  <c r="V66" i="13"/>
  <c r="V106" i="13"/>
  <c r="V49" i="13"/>
  <c r="T114" i="13"/>
  <c r="V114" i="13" s="1"/>
  <c r="V52" i="13"/>
  <c r="V82" i="13"/>
  <c r="V94" i="13"/>
  <c r="T110" i="13"/>
  <c r="V110" i="13" s="1"/>
  <c r="T109" i="13"/>
  <c r="V109" i="13" s="1"/>
  <c r="V76" i="13"/>
  <c r="T85" i="13"/>
  <c r="V85" i="13" s="1"/>
  <c r="T80" i="13"/>
  <c r="V80" i="13" s="1"/>
  <c r="V63" i="13"/>
  <c r="T84" i="13"/>
  <c r="V84" i="13" s="1"/>
  <c r="T98" i="13"/>
  <c r="V98" i="13" s="1"/>
  <c r="T86" i="13"/>
  <c r="V86" i="13" s="1"/>
  <c r="T97" i="13"/>
  <c r="V97" i="13" s="1"/>
  <c r="V77" i="13"/>
  <c r="T96" i="13"/>
  <c r="V96" i="13" s="1"/>
  <c r="T108" i="13"/>
  <c r="V108" i="13" s="1"/>
  <c r="T74" i="13"/>
  <c r="V74" i="13" s="1"/>
  <c r="V71" i="13"/>
  <c r="T54" i="13"/>
  <c r="V54" i="13" s="1"/>
  <c r="T47" i="13"/>
  <c r="V47" i="13" s="1"/>
  <c r="T57" i="13"/>
  <c r="V57" i="13" s="1"/>
  <c r="T59" i="13"/>
  <c r="V59" i="13" s="1"/>
  <c r="T62" i="13"/>
  <c r="V62" i="13" s="1"/>
  <c r="T65" i="13"/>
  <c r="V65" i="13" s="1"/>
  <c r="T45" i="13"/>
  <c r="V45" i="13" s="1"/>
  <c r="V43" i="13"/>
  <c r="T75" i="13"/>
  <c r="V75" i="13" s="1"/>
  <c r="T69" i="13"/>
  <c r="V69" i="13" s="1"/>
  <c r="T41" i="13"/>
  <c r="V41" i="13" s="1"/>
  <c r="T53" i="13"/>
  <c r="V53" i="13" s="1"/>
  <c r="T50" i="13"/>
  <c r="V50" i="13" s="1"/>
  <c r="T58" i="13"/>
  <c r="V58" i="13" s="1"/>
  <c r="T48" i="13"/>
  <c r="V48" i="13" s="1"/>
  <c r="V12" i="13"/>
  <c r="T24" i="13"/>
  <c r="V24" i="13" s="1"/>
  <c r="T38" i="13"/>
  <c r="V38" i="13" s="1"/>
  <c r="T21" i="13"/>
  <c r="V21" i="13" s="1"/>
  <c r="V14" i="13"/>
  <c r="V23" i="13"/>
  <c r="T35" i="13"/>
  <c r="V35" i="13" s="1"/>
  <c r="T32" i="13"/>
  <c r="V32" i="13" s="1"/>
  <c r="T3" i="13"/>
  <c r="V3" i="13" s="1"/>
  <c r="T28" i="13"/>
  <c r="V28" i="13" s="1"/>
  <c r="T22" i="13"/>
  <c r="V22" i="13" s="1"/>
  <c r="V30" i="13"/>
  <c r="V25" i="13"/>
  <c r="T16" i="13"/>
  <c r="V16" i="13" s="1"/>
  <c r="V20" i="13"/>
  <c r="V17" i="13"/>
  <c r="T4" i="13"/>
  <c r="V4" i="13" s="1"/>
  <c r="T33" i="13"/>
  <c r="V33" i="13" s="1"/>
  <c r="V18" i="13"/>
  <c r="V15" i="13"/>
  <c r="T9" i="13"/>
  <c r="V9" i="13" s="1"/>
  <c r="T5" i="13"/>
  <c r="V5" i="13" s="1"/>
  <c r="T7" i="13"/>
  <c r="V7" i="13" s="1"/>
  <c r="T8" i="13"/>
  <c r="V8" i="13" s="1"/>
  <c r="V27" i="13"/>
  <c r="T34" i="13"/>
  <c r="V34" i="13" s="1"/>
  <c r="T19" i="13"/>
  <c r="V19" i="13" s="1"/>
  <c r="T10" i="13"/>
  <c r="V10" i="13" s="1"/>
  <c r="V11" i="13"/>
  <c r="T6" i="13"/>
  <c r="V6" i="13" s="1"/>
  <c r="T36" i="13"/>
  <c r="V36" i="13" s="1"/>
  <c r="T31" i="13"/>
  <c r="V31" i="13" s="1"/>
  <c r="Y12" i="13" l="1"/>
  <c r="Y2" i="13"/>
</calcChain>
</file>

<file path=xl/sharedStrings.xml><?xml version="1.0" encoding="utf-8"?>
<sst xmlns="http://schemas.openxmlformats.org/spreadsheetml/2006/main" count="1959" uniqueCount="425">
  <si>
    <t>S. No.</t>
  </si>
  <si>
    <t>Employee Id</t>
  </si>
  <si>
    <t>First Name</t>
  </si>
  <si>
    <t>Last Name</t>
  </si>
  <si>
    <t>Gender</t>
  </si>
  <si>
    <t>Marital Status</t>
  </si>
  <si>
    <t>Date Of Birth</t>
  </si>
  <si>
    <t>Date Of Joining</t>
  </si>
  <si>
    <t>Date of Leaving</t>
  </si>
  <si>
    <t>Reporting Manager</t>
  </si>
  <si>
    <t>Designation</t>
  </si>
  <si>
    <t>Department</t>
  </si>
  <si>
    <t>Work Location</t>
  </si>
  <si>
    <t>Status</t>
  </si>
  <si>
    <t>Shift Details</t>
  </si>
  <si>
    <t>PAN</t>
  </si>
  <si>
    <t>Email ID</t>
  </si>
  <si>
    <t>Phone</t>
  </si>
  <si>
    <t>ASG0001</t>
  </si>
  <si>
    <t>Male</t>
  </si>
  <si>
    <t>Single</t>
  </si>
  <si>
    <t>Bangalore</t>
  </si>
  <si>
    <t>Active</t>
  </si>
  <si>
    <t>BEJNS1637K</t>
  </si>
  <si>
    <t>ASG0002</t>
  </si>
  <si>
    <t>Married</t>
  </si>
  <si>
    <t>Mumbai</t>
  </si>
  <si>
    <t>Relieved</t>
  </si>
  <si>
    <t>ASG0003</t>
  </si>
  <si>
    <t>Hyderabad</t>
  </si>
  <si>
    <t>ASG0004</t>
  </si>
  <si>
    <t>Female</t>
  </si>
  <si>
    <t>Chennai</t>
  </si>
  <si>
    <t>EHMRV2048G</t>
  </si>
  <si>
    <t>ASG0005</t>
  </si>
  <si>
    <t>ASG0006</t>
  </si>
  <si>
    <t>ASG0007</t>
  </si>
  <si>
    <t>ASG0008</t>
  </si>
  <si>
    <t>ASG0009</t>
  </si>
  <si>
    <t>KNSWA2733T</t>
  </si>
  <si>
    <t>ASG0010</t>
  </si>
  <si>
    <t>LPTXB2870A</t>
  </si>
  <si>
    <t>ASG0011</t>
  </si>
  <si>
    <t>ASG0012</t>
  </si>
  <si>
    <t>NRVZD3144Q</t>
  </si>
  <si>
    <t>ASG0013</t>
  </si>
  <si>
    <t>ASG0014</t>
  </si>
  <si>
    <t>QTXBF3418E</t>
  </si>
  <si>
    <t>ASG0015</t>
  </si>
  <si>
    <t>ASG0016</t>
  </si>
  <si>
    <t>ASG0017</t>
  </si>
  <si>
    <t>ASG0018</t>
  </si>
  <si>
    <t>ASG0019</t>
  </si>
  <si>
    <t>ASG0020</t>
  </si>
  <si>
    <t>WZDHM4240Y</t>
  </si>
  <si>
    <t>ASG0021</t>
  </si>
  <si>
    <t>ASG0022</t>
  </si>
  <si>
    <t>YBFKP4514N</t>
  </si>
  <si>
    <t>ASG0023</t>
  </si>
  <si>
    <t>ASG0024</t>
  </si>
  <si>
    <t>ASG0025</t>
  </si>
  <si>
    <t>ASG0026</t>
  </si>
  <si>
    <t>ASG0027</t>
  </si>
  <si>
    <t>DGLQU5199Z</t>
  </si>
  <si>
    <t>ASG0028</t>
  </si>
  <si>
    <t>ASG0029</t>
  </si>
  <si>
    <t>ASG0030</t>
  </si>
  <si>
    <t>GKPTX5610W</t>
  </si>
  <si>
    <t>ASG0031</t>
  </si>
  <si>
    <t>ASG0032</t>
  </si>
  <si>
    <t>ASG0033</t>
  </si>
  <si>
    <t>ASG0034</t>
  </si>
  <si>
    <t>ASG0035</t>
  </si>
  <si>
    <t>MQUYC6295H</t>
  </si>
  <si>
    <t>ASG0036</t>
  </si>
  <si>
    <t>NRVZD6432Q</t>
  </si>
  <si>
    <t>ASG0037</t>
  </si>
  <si>
    <t>PSWAE6569X</t>
  </si>
  <si>
    <t>ASG0038</t>
  </si>
  <si>
    <t>QTXBF6706E</t>
  </si>
  <si>
    <t>ASG0039</t>
  </si>
  <si>
    <t>RUYCG6843M</t>
  </si>
  <si>
    <t>ASG0040</t>
  </si>
  <si>
    <t>ASG0041</t>
  </si>
  <si>
    <t>TWAEJ7117B</t>
  </si>
  <si>
    <t>ASG0042</t>
  </si>
  <si>
    <t>ASG0043</t>
  </si>
  <si>
    <t>ASG0044</t>
  </si>
  <si>
    <t>WZDHM7528Y</t>
  </si>
  <si>
    <t>ASG0045</t>
  </si>
  <si>
    <t>XAEJN7665F</t>
  </si>
  <si>
    <t>ASG0046</t>
  </si>
  <si>
    <t>YBFKP7802N</t>
  </si>
  <si>
    <t>ASG0047</t>
  </si>
  <si>
    <t>ASG0048</t>
  </si>
  <si>
    <t>ASG0049</t>
  </si>
  <si>
    <t>ASG0050</t>
  </si>
  <si>
    <t>CFKPT8350S</t>
  </si>
  <si>
    <t>EHMRV8624G</t>
  </si>
  <si>
    <t>GKPTX8898W</t>
  </si>
  <si>
    <t>HLQUY9035D</t>
  </si>
  <si>
    <t>NRVZD9720Q</t>
  </si>
  <si>
    <t>PSWAE9857X</t>
  </si>
  <si>
    <t>QTXBF9994E</t>
  </si>
  <si>
    <t>RUYCG1131M</t>
  </si>
  <si>
    <t>UXBFK1542J</t>
  </si>
  <si>
    <t>YBFKP2090N</t>
  </si>
  <si>
    <t>ZCGLQ2227V</t>
  </si>
  <si>
    <t>ADHMR2364C</t>
  </si>
  <si>
    <t>BEJNS2501K</t>
  </si>
  <si>
    <t>CFKPT2638S</t>
  </si>
  <si>
    <t>EHMRV2912G</t>
  </si>
  <si>
    <t>FJNSW3049P</t>
  </si>
  <si>
    <t>GKPTX3186W</t>
  </si>
  <si>
    <t>LPTXB3734A</t>
  </si>
  <si>
    <t>NRVZD4008Q</t>
  </si>
  <si>
    <t>SVZDH4556U</t>
  </si>
  <si>
    <t>TWAEJ4693B</t>
  </si>
  <si>
    <t>UXBFK4830J</t>
  </si>
  <si>
    <t>VYCGL4967R</t>
  </si>
  <si>
    <t>WZDHM5104Y</t>
  </si>
  <si>
    <t>XAEJN5241F</t>
  </si>
  <si>
    <t>YBFKP5378N</t>
  </si>
  <si>
    <t>ZCGLQ5515V</t>
  </si>
  <si>
    <t>ADHMR5652C</t>
  </si>
  <si>
    <t>BEJNS5789K</t>
  </si>
  <si>
    <t>CFKPT5926S</t>
  </si>
  <si>
    <t>DGLQU6063Z</t>
  </si>
  <si>
    <t>Special Allowance</t>
  </si>
  <si>
    <t>Fuel Allowance</t>
  </si>
  <si>
    <t>Internet Allowance</t>
  </si>
  <si>
    <t>Monthly CTC</t>
  </si>
  <si>
    <t>Annual CTC</t>
  </si>
  <si>
    <t>Basic</t>
  </si>
  <si>
    <t>HRA</t>
  </si>
  <si>
    <t>Payroll Month</t>
  </si>
  <si>
    <t>LOP Days</t>
  </si>
  <si>
    <t>OT Hours</t>
  </si>
  <si>
    <t>Target Incentive</t>
  </si>
  <si>
    <t>Gross Salary</t>
  </si>
  <si>
    <t>Income Tax</t>
  </si>
  <si>
    <t>Loan Deduction</t>
  </si>
  <si>
    <t>Net Salary</t>
  </si>
  <si>
    <t>January</t>
  </si>
  <si>
    <t>February</t>
  </si>
  <si>
    <t>March</t>
  </si>
  <si>
    <t>Overtime Pay</t>
  </si>
  <si>
    <t>Sharma</t>
  </si>
  <si>
    <t>Priya</t>
  </si>
  <si>
    <t>Kumar</t>
  </si>
  <si>
    <t>Aarav</t>
  </si>
  <si>
    <t>Pillai</t>
  </si>
  <si>
    <t>Pooja</t>
  </si>
  <si>
    <t>Reddy</t>
  </si>
  <si>
    <t>Tarun</t>
  </si>
  <si>
    <t>Shah</t>
  </si>
  <si>
    <t>Varun</t>
  </si>
  <si>
    <t>Iyer</t>
  </si>
  <si>
    <t>Sachin</t>
  </si>
  <si>
    <t>Sinha</t>
  </si>
  <si>
    <t>Rajesh</t>
  </si>
  <si>
    <t>Mishra</t>
  </si>
  <si>
    <t>Arnav</t>
  </si>
  <si>
    <t>Pandey</t>
  </si>
  <si>
    <t>Tushar</t>
  </si>
  <si>
    <t>Arora</t>
  </si>
  <si>
    <t>Nidhi</t>
  </si>
  <si>
    <t>Nayak</t>
  </si>
  <si>
    <t>Manish</t>
  </si>
  <si>
    <t>Hegde</t>
  </si>
  <si>
    <t>Piyush</t>
  </si>
  <si>
    <t>Shetty</t>
  </si>
  <si>
    <t>Shruti</t>
  </si>
  <si>
    <t>Gowda</t>
  </si>
  <si>
    <t>Sumit</t>
  </si>
  <si>
    <t>Garg</t>
  </si>
  <si>
    <t>Saurab</t>
  </si>
  <si>
    <t>Bansal</t>
  </si>
  <si>
    <t>Yuvraj</t>
  </si>
  <si>
    <t>Saxena</t>
  </si>
  <si>
    <t>Pranav</t>
  </si>
  <si>
    <t>Tripathi</t>
  </si>
  <si>
    <t>Simran</t>
  </si>
  <si>
    <t>Jain</t>
  </si>
  <si>
    <t>Kartik</t>
  </si>
  <si>
    <t>Batra</t>
  </si>
  <si>
    <t>Ritesh</t>
  </si>
  <si>
    <t>Luthra</t>
  </si>
  <si>
    <t>Lokesh</t>
  </si>
  <si>
    <t>Ahuja</t>
  </si>
  <si>
    <t>Sonia</t>
  </si>
  <si>
    <t>Khanna</t>
  </si>
  <si>
    <t>Parth</t>
  </si>
  <si>
    <t>Madaan</t>
  </si>
  <si>
    <t>Akshay</t>
  </si>
  <si>
    <t>Mohan</t>
  </si>
  <si>
    <t>Sanjay</t>
  </si>
  <si>
    <t>Lal</t>
  </si>
  <si>
    <t>Ashwin</t>
  </si>
  <si>
    <t>Gill</t>
  </si>
  <si>
    <t>Naveen</t>
  </si>
  <si>
    <t>Samant</t>
  </si>
  <si>
    <t>Girish</t>
  </si>
  <si>
    <t>Mistry</t>
  </si>
  <si>
    <t>Kavya</t>
  </si>
  <si>
    <t>Shroff</t>
  </si>
  <si>
    <t>Harish</t>
  </si>
  <si>
    <t>Dalal</t>
  </si>
  <si>
    <t>Ramesh</t>
  </si>
  <si>
    <t>Sibal</t>
  </si>
  <si>
    <t>Nisha</t>
  </si>
  <si>
    <t>Madan</t>
  </si>
  <si>
    <t>Dinesh</t>
  </si>
  <si>
    <t>Kohli</t>
  </si>
  <si>
    <t>Sunil</t>
  </si>
  <si>
    <t>Jolly</t>
  </si>
  <si>
    <t>Bikram</t>
  </si>
  <si>
    <t>Monga</t>
  </si>
  <si>
    <t>Pratik</t>
  </si>
  <si>
    <t>Nanda</t>
  </si>
  <si>
    <t>Rohini</t>
  </si>
  <si>
    <t>Suri</t>
  </si>
  <si>
    <t>Abhinav</t>
  </si>
  <si>
    <t>Khera</t>
  </si>
  <si>
    <t>Vikram</t>
  </si>
  <si>
    <t>Bedi</t>
  </si>
  <si>
    <t>Swati</t>
  </si>
  <si>
    <t>Chadha</t>
  </si>
  <si>
    <t>Naresh</t>
  </si>
  <si>
    <t>Rajput</t>
  </si>
  <si>
    <t>Preeti</t>
  </si>
  <si>
    <t>Chauhan</t>
  </si>
  <si>
    <t>Devraj</t>
  </si>
  <si>
    <t>Thakur</t>
  </si>
  <si>
    <t>Paresh</t>
  </si>
  <si>
    <t>Rana</t>
  </si>
  <si>
    <t>Usha</t>
  </si>
  <si>
    <t>Malhotra</t>
  </si>
  <si>
    <t>Ambar</t>
  </si>
  <si>
    <t>Biswas</t>
  </si>
  <si>
    <t>Nakul</t>
  </si>
  <si>
    <t>Datta</t>
  </si>
  <si>
    <t>Bharat</t>
  </si>
  <si>
    <t>Moitra</t>
  </si>
  <si>
    <t>Sameer</t>
  </si>
  <si>
    <t>Rathi</t>
  </si>
  <si>
    <t>Ajay</t>
  </si>
  <si>
    <t>ajay.sharma@asg.com</t>
  </si>
  <si>
    <t>priya.kumar@asg.com</t>
  </si>
  <si>
    <t>aarav.pillai@asg.com</t>
  </si>
  <si>
    <t>pooja.reddy@asg.com</t>
  </si>
  <si>
    <t>tarun.shah@asg.com</t>
  </si>
  <si>
    <t>varun.iyer@asg.com</t>
  </si>
  <si>
    <t>sachin.sinha@asg.com</t>
  </si>
  <si>
    <t>rajesh.mishra@asg.com</t>
  </si>
  <si>
    <t>arnav.pandey@asg.com</t>
  </si>
  <si>
    <t>tushar.arora@asg.com</t>
  </si>
  <si>
    <t>nidhi.nayak@asg.com</t>
  </si>
  <si>
    <t>manish.hegde@asg.com</t>
  </si>
  <si>
    <t>piyush.shetty@asg.com</t>
  </si>
  <si>
    <t>shruti.gowda@asg.com</t>
  </si>
  <si>
    <t>sumit.garg@asg.com</t>
  </si>
  <si>
    <t>saurab.bansal@asg.com</t>
  </si>
  <si>
    <t>yuvraj.saxena@asg.com</t>
  </si>
  <si>
    <t>pranav.tripathi@asg.com</t>
  </si>
  <si>
    <t>simran.jain@asg.com</t>
  </si>
  <si>
    <t>kartik.batra@asg.com</t>
  </si>
  <si>
    <t>ritesh.luthra@asg.com</t>
  </si>
  <si>
    <t>lokesh.ahuja@asg.com</t>
  </si>
  <si>
    <t>sonia.khanna@asg.com</t>
  </si>
  <si>
    <t>parth.madaan@asg.com</t>
  </si>
  <si>
    <t>akshay.mohan@asg.com</t>
  </si>
  <si>
    <t>sanjay.lal@asg.com</t>
  </si>
  <si>
    <t>ashwin.gill@asg.com</t>
  </si>
  <si>
    <t>naveen.samant@asg.com</t>
  </si>
  <si>
    <t>girish.mistry@asg.com</t>
  </si>
  <si>
    <t>kavya.shroff@asg.com</t>
  </si>
  <si>
    <t>harish.dalal@asg.com</t>
  </si>
  <si>
    <t>ramesh.sibal@asg.com</t>
  </si>
  <si>
    <t>nisha.madan@asg.com</t>
  </si>
  <si>
    <t>dinesh.kohli@asg.com</t>
  </si>
  <si>
    <t>sunil.jolly@asg.com</t>
  </si>
  <si>
    <t>bikram.monga@asg.com</t>
  </si>
  <si>
    <t>pratik.nanda@asg.com</t>
  </si>
  <si>
    <t>rohini.suri@asg.com</t>
  </si>
  <si>
    <t>abhinav.khera@asg.com</t>
  </si>
  <si>
    <t>vikram.bedi@asg.com</t>
  </si>
  <si>
    <t>swati.chadha@asg.com</t>
  </si>
  <si>
    <t>naresh.rajput@asg.com</t>
  </si>
  <si>
    <t>preeti.chauhan@asg.com</t>
  </si>
  <si>
    <t>devraj.thakur@asg.com</t>
  </si>
  <si>
    <t>paresh.rana@asg.com</t>
  </si>
  <si>
    <t>usha.malhotra@asg.com</t>
  </si>
  <si>
    <t>ambar.biswas@asg.com</t>
  </si>
  <si>
    <t>nakul.datta@asg.com</t>
  </si>
  <si>
    <t>bharat.moitra@asg.com</t>
  </si>
  <si>
    <t>sameer.rathi@asg.com</t>
  </si>
  <si>
    <t>9100013338</t>
  </si>
  <si>
    <t>9100053364</t>
  </si>
  <si>
    <t>9100120114</t>
  </si>
  <si>
    <t>9100133470</t>
  </si>
  <si>
    <t>9100160188</t>
  </si>
  <si>
    <t>9100186914</t>
  </si>
  <si>
    <t>9100253764</t>
  </si>
  <si>
    <t>9100280518</t>
  </si>
  <si>
    <t>9100347438</t>
  </si>
  <si>
    <t>9100387614</t>
  </si>
  <si>
    <t>9100494838</t>
  </si>
  <si>
    <t>9100508250</t>
  </si>
  <si>
    <t>9100521664</t>
  </si>
  <si>
    <t>9100535080</t>
  </si>
  <si>
    <t>9100548498</t>
  </si>
  <si>
    <t>9100575340</t>
  </si>
  <si>
    <t>9100615618</t>
  </si>
  <si>
    <t>9100629048</t>
  </si>
  <si>
    <t>9100642480</t>
  </si>
  <si>
    <t>9100736560</t>
  </si>
  <si>
    <t>9100750008</t>
  </si>
  <si>
    <t>9100776910</t>
  </si>
  <si>
    <t>9100790364</t>
  </si>
  <si>
    <t>9100803820</t>
  </si>
  <si>
    <t>9100884598</t>
  </si>
  <si>
    <t>9100898068</t>
  </si>
  <si>
    <t>9100911540</t>
  </si>
  <si>
    <t>9100925014</t>
  </si>
  <si>
    <t>9100965448</t>
  </si>
  <si>
    <t>9100992414</t>
  </si>
  <si>
    <t>9101005900</t>
  </si>
  <si>
    <t>9101032878</t>
  </si>
  <si>
    <t>9101046370</t>
  </si>
  <si>
    <t>9101059864</t>
  </si>
  <si>
    <t>9101073360</t>
  </si>
  <si>
    <t>9101100358</t>
  </si>
  <si>
    <t>9101113860</t>
  </si>
  <si>
    <t>9101127364</t>
  </si>
  <si>
    <t>9101140870</t>
  </si>
  <si>
    <t>9101167888</t>
  </si>
  <si>
    <t>9101194914</t>
  </si>
  <si>
    <t>9101235468</t>
  </si>
  <si>
    <t>9101248990</t>
  </si>
  <si>
    <t>9101262514</t>
  </si>
  <si>
    <t>9101276040</t>
  </si>
  <si>
    <t>9101289568</t>
  </si>
  <si>
    <t>9101303098</t>
  </si>
  <si>
    <t>9101316630</t>
  </si>
  <si>
    <t>9101330164</t>
  </si>
  <si>
    <t>9101343700</t>
  </si>
  <si>
    <t>Month</t>
  </si>
  <si>
    <t>No.of Employees</t>
  </si>
  <si>
    <t>New Joiners</t>
  </si>
  <si>
    <t>Relievers</t>
  </si>
  <si>
    <t>Employer PF
(Basic *  12%)</t>
  </si>
  <si>
    <t>Pay Days</t>
  </si>
  <si>
    <t>Sales</t>
  </si>
  <si>
    <t>Analytics</t>
  </si>
  <si>
    <t>Analytics Manager</t>
  </si>
  <si>
    <t>HR Manager</t>
  </si>
  <si>
    <t>Senior Data Analyst</t>
  </si>
  <si>
    <t>Finance Manager</t>
  </si>
  <si>
    <t>HR Analyst</t>
  </si>
  <si>
    <t>Payroll Manager</t>
  </si>
  <si>
    <t>Sales Manager</t>
  </si>
  <si>
    <t>BI Developer</t>
  </si>
  <si>
    <t>Payroll</t>
  </si>
  <si>
    <t>Age</t>
  </si>
  <si>
    <t>Data Analyst</t>
  </si>
  <si>
    <t>Accounts Executive</t>
  </si>
  <si>
    <t>Accounts Trainee</t>
  </si>
  <si>
    <t>HR Executive</t>
  </si>
  <si>
    <t>Senior Payroll Analyst</t>
  </si>
  <si>
    <t>Payroll Analyst</t>
  </si>
  <si>
    <t>Payroll Executive</t>
  </si>
  <si>
    <t>Sales Executive</t>
  </si>
  <si>
    <t>Regional Sales Lead</t>
  </si>
  <si>
    <t>Basic
(50% of CTC)</t>
  </si>
  <si>
    <t>HRA
(40% of Basic)</t>
  </si>
  <si>
    <t>Fuel Allowance
(Fixed Rs 2000)</t>
  </si>
  <si>
    <t>Internet Allowance
(Fixed Rs 1000)</t>
  </si>
  <si>
    <t>Special Allowance
(Adjusting Figure)</t>
  </si>
  <si>
    <t>CEO</t>
  </si>
  <si>
    <t>Sr Accountant</t>
  </si>
  <si>
    <t>Sales Trainee</t>
  </si>
  <si>
    <t>Senior Sales Executive</t>
  </si>
  <si>
    <t>Day</t>
  </si>
  <si>
    <t>Mid</t>
  </si>
  <si>
    <t>Night</t>
  </si>
  <si>
    <t>Year</t>
  </si>
  <si>
    <t>April</t>
  </si>
  <si>
    <t>May</t>
  </si>
  <si>
    <t>June</t>
  </si>
  <si>
    <t>July</t>
  </si>
  <si>
    <t>August</t>
  </si>
  <si>
    <t>September</t>
  </si>
  <si>
    <t>October</t>
  </si>
  <si>
    <t>November</t>
  </si>
  <si>
    <t>December</t>
  </si>
  <si>
    <t>Head Count</t>
  </si>
  <si>
    <t>Finance</t>
  </si>
  <si>
    <t>HR</t>
  </si>
  <si>
    <t>Employee PF</t>
  </si>
  <si>
    <t>Count of Employee Id</t>
  </si>
  <si>
    <t>Column Labels</t>
  </si>
  <si>
    <t>Sum of Net Salary</t>
  </si>
  <si>
    <t>Rs. #\.##,"L"</t>
  </si>
  <si>
    <t>Location</t>
  </si>
  <si>
    <t>Kolkata</t>
  </si>
  <si>
    <t>Total Employees</t>
  </si>
  <si>
    <t>Active Employees</t>
  </si>
  <si>
    <t>No. of Departments</t>
  </si>
  <si>
    <t>No. of Locations</t>
  </si>
  <si>
    <t>Sum of Gross Salary</t>
  </si>
  <si>
    <t>Sum of OT Hours</t>
  </si>
  <si>
    <t>Sum of LOP Days</t>
  </si>
  <si>
    <t>Total Net Salary for Q4</t>
  </si>
  <si>
    <t>Gross Salary Paid</t>
  </si>
  <si>
    <t>Total OT Hours</t>
  </si>
  <si>
    <t>Total LOP Days</t>
  </si>
  <si>
    <t>Costliest Location</t>
  </si>
  <si>
    <t>Costliest Department</t>
  </si>
  <si>
    <t>Sum of Employee PF</t>
  </si>
  <si>
    <t>Sum of Income Tax</t>
  </si>
  <si>
    <t>Column1</t>
  </si>
  <si>
    <t>Qualification</t>
  </si>
  <si>
    <t>UG</t>
  </si>
  <si>
    <t>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</si>
</sst>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
    <numFmt numFmtId="165" formatCode="&quot;Rs. &quot;#\.##,&quot;L&quot;"/>
    <numFmt numFmtId="166" formatCode="mmmm/yyyy"/>
  </numFmts>
  <fonts count="4" x14ac:knownFonts="1">
    <font>
      <sz val="11"/>
      <color theme="1"/>
      <name val="Calibri"/>
      <family val="2"/>
      <scheme val="minor"/>
    </font>
    <font>
      <b/>
      <sz val="11"/>
      <color theme="1"/>
      <name val="Calibri"/>
      <family val="2"/>
      <scheme val="minor"/>
    </font>
    <font>
      <sz val="10"/>
      <name val="Arial"/>
      <family val="2"/>
      <charset val="1"/>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1">
    <xf numFmtId="0" fontId="0" fillId="0" borderId="0" xfId="0"/>
    <xf numFmtId="15" fontId="0" fillId="0" borderId="0" xfId="0" applyNumberFormat="1"/>
    <xf numFmtId="0" fontId="1" fillId="0" borderId="0" xfId="0" applyFont="1" applyAlignment="1">
      <alignment horizontal="center" vertical="center" wrapText="1"/>
    </xf>
    <xf numFmtId="164" fontId="0" fillId="0" borderId="0" xfId="0" applyNumberFormat="1"/>
    <xf numFmtId="0" fontId="1" fillId="0" borderId="0" xfId="0" applyFont="1"/>
    <xf numFmtId="15" fontId="1" fillId="0" borderId="0" xfId="0" applyNumberFormat="1" applyFont="1"/>
    <xf numFmtId="0" fontId="2" fillId="0" borderId="0" xfId="1" applyAlignment="1">
      <alignment horizontal="center"/>
    </xf>
    <xf numFmtId="0" fontId="2" fillId="0" borderId="0" xfId="1"/>
    <xf numFmtId="15" fontId="2" fillId="0" borderId="0" xfId="1" applyNumberFormat="1"/>
    <xf numFmtId="15" fontId="1" fillId="0" borderId="0" xfId="0" applyNumberFormat="1" applyFont="1" applyAlignment="1">
      <alignment horizontal="center" vertical="center" wrapText="1"/>
    </xf>
    <xf numFmtId="4" fontId="1" fillId="0" borderId="0" xfId="0" applyNumberFormat="1" applyFont="1" applyAlignment="1">
      <alignment horizontal="center" vertical="center" wrapText="1"/>
    </xf>
    <xf numFmtId="4" fontId="2" fillId="0" borderId="0" xfId="1" applyNumberFormat="1"/>
    <xf numFmtId="0" fontId="0" fillId="0" borderId="0" xfId="0" applyAlignment="1">
      <alignment horizontal="center" vertical="center" wrapText="1"/>
    </xf>
    <xf numFmtId="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6" fontId="0" fillId="0" borderId="0" xfId="0" applyNumberFormat="1" applyAlignment="1">
      <alignment horizontal="left"/>
    </xf>
    <xf numFmtId="3" fontId="1" fillId="0" borderId="0" xfId="0" applyNumberFormat="1" applyFont="1"/>
    <xf numFmtId="0" fontId="0" fillId="0" borderId="0" xfId="0" applyNumberFormat="1"/>
  </cellXfs>
  <cellStyles count="2">
    <cellStyle name="Normal" xfId="0" builtinId="0"/>
    <cellStyle name="Normal 2" xfId="1" xr:uid="{7BB4C890-C7BF-4D21-A7B2-FC1C9CA43376}"/>
  </cellStyles>
  <dxfs count="39">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0" formatCode="dd/mmm/yy"/>
    </dxf>
    <dxf>
      <numFmt numFmtId="20" formatCode="dd/mmm/yy"/>
    </dxf>
    <dxf>
      <numFmt numFmtId="20" formatCode="dd/mmm/yy"/>
    </dxf>
    <dxf>
      <numFmt numFmtId="20" formatCode="dd/mmm/yy"/>
    </dxf>
    <dxf>
      <numFmt numFmtId="20" formatCode="dd/mmm/yy"/>
    </dxf>
    <dxf>
      <numFmt numFmtId="20" formatCode="dd/mmm/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0" formatCode="dd/mmm/yy"/>
    </dxf>
    <dxf>
      <numFmt numFmtId="20" formatCode="dd/mmm/yy"/>
    </dxf>
    <dxf>
      <numFmt numFmtId="20" formatCode="dd/mmm/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164" formatCode="d\-mmm\-yy"/>
    </dxf>
    <dxf>
      <numFmt numFmtId="20" formatCode="dd/mmm/yy"/>
    </dxf>
    <dxf>
      <numFmt numFmtId="20" formatCode="dd/mmm/yy"/>
    </dxf>
    <dxf>
      <numFmt numFmtId="20" formatCode="dd/mmm/yy"/>
    </dxf>
    <dxf>
      <numFmt numFmtId="20" formatCode="dd/m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D26E2A"/>
      <color rgb="FFF1A78A"/>
      <color rgb="FF1E293B"/>
      <color rgb="FFF1F5F9"/>
      <color rgb="FFD97706"/>
      <color rgb="FF172554"/>
      <color rgb="FF24323D"/>
      <color rgb="FFEAF4F4"/>
      <color rgb="FF2A9D8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 Qualification</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solidFill>
                  <a:sysClr val="windowText" lastClr="000000">
                    <a:lumMod val="65000"/>
                    <a:lumOff val="35000"/>
                  </a:sysClr>
                </a:solidFill>
                <a:effectLst/>
              </a:rPr>
              <a:t>Staffing Overview by Qualification</a:t>
            </a:r>
            <a:endParaRPr lang="en-IN">
              <a:solidFill>
                <a:sysClr val="windowText" lastClr="000000">
                  <a:lumMod val="65000"/>
                  <a:lumOff val="35000"/>
                </a:sysClr>
              </a:solidFill>
            </a:endParaRPr>
          </a:p>
        </c:rich>
      </c:tx>
      <c:layout>
        <c:manualLayout>
          <c:xMode val="edge"/>
          <c:yMode val="edge"/>
          <c:x val="0.16608200691275071"/>
          <c:y val="5.38238202978967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6"/>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w="19050">
            <a:noFill/>
          </a:ln>
          <a:effectLst>
            <a:outerShdw blurRad="63500" sx="102000" sy="102000" algn="ctr" rotWithShape="0">
              <a:prstClr val="black">
                <a:alpha val="40000"/>
              </a:prstClr>
            </a:outerShdw>
          </a:effectLst>
        </c:spPr>
        <c:dLbl>
          <c:idx val="0"/>
          <c:layout>
            <c:manualLayout>
              <c:x val="0.1306584362139917"/>
              <c:y val="-0.1196082687927429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BBD50963-2EC8-4D54-8DEC-C96C05682C40}" type="VALUE">
                  <a:rPr lang="en-US" sz="1050"/>
                  <a:pPr>
                    <a:defRPr sz="105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6"/>
          </a:solidFill>
          <a:ln w="19050">
            <a:noFill/>
          </a:ln>
          <a:effectLst>
            <a:outerShdw blurRad="63500" sx="102000" sy="102000" algn="ctr" rotWithShape="0">
              <a:prstClr val="black">
                <a:alpha val="40000"/>
              </a:prstClr>
            </a:outerShdw>
          </a:effectLst>
        </c:spPr>
        <c:dLbl>
          <c:idx val="0"/>
          <c:layout>
            <c:manualLayout>
              <c:x val="-0.13501371742112483"/>
              <c:y val="0.12558868223238004"/>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EFFF0A82-ABBD-4CAB-BE52-F6A2CCFD21EF}" type="VALUE">
                  <a:rPr lang="en-US" sz="1050"/>
                  <a:pPr>
                    <a:defRPr sz="105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solidFill>
          <a:ln w="19050">
            <a:noFill/>
          </a:ln>
          <a:effectLst>
            <a:outerShdw blurRad="63500" sx="102000" sy="102000" algn="ctr" rotWithShape="0">
              <a:prstClr val="black">
                <a:alpha val="40000"/>
              </a:prstClr>
            </a:outerShdw>
          </a:effectLst>
        </c:spPr>
        <c:dLbl>
          <c:idx val="0"/>
          <c:layout>
            <c:manualLayout>
              <c:x val="0.16296893669925222"/>
              <c:y val="0.1736946912337520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noFill/>
          </a:ln>
          <a:effectLst>
            <a:outerShdw blurRad="63500" sx="102000" sy="102000" algn="ctr" rotWithShape="0">
              <a:prstClr val="black">
                <a:alpha val="40000"/>
              </a:prstClr>
            </a:outerShdw>
          </a:effectLst>
        </c:spPr>
        <c:dLbl>
          <c:idx val="0"/>
          <c:layout>
            <c:manualLayout>
              <c:x val="-0.13162875656478065"/>
              <c:y val="-0.1538438693784661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53765171618742"/>
          <c:y val="0.20221108258599776"/>
          <c:w val="0.38020127318339342"/>
          <c:h val="0.59970731769799279"/>
        </c:manualLayout>
      </c:layout>
      <c:doughnutChart>
        <c:varyColors val="1"/>
        <c:ser>
          <c:idx val="0"/>
          <c:order val="0"/>
          <c:tx>
            <c:strRef>
              <c:f>'Pivot Tables - Workforce'!$G$1</c:f>
              <c:strCache>
                <c:ptCount val="1"/>
                <c:pt idx="0">
                  <c:v>Total</c:v>
                </c:pt>
              </c:strCache>
            </c:strRef>
          </c:tx>
          <c:spPr>
            <a:ln>
              <a:noFill/>
            </a:ln>
            <a:effectLst>
              <a:outerShdw blurRad="63500" sx="102000" sy="102000" algn="ctr" rotWithShape="0">
                <a:prstClr val="black">
                  <a:alpha val="40000"/>
                </a:prstClr>
              </a:outerShdw>
            </a:effectLst>
          </c:spPr>
          <c:dPt>
            <c:idx val="0"/>
            <c:bubble3D val="0"/>
            <c:spPr>
              <a:solidFill>
                <a:schemeClr val="accent6"/>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1FB2-4933-B4F6-A9A1367E4A04}"/>
              </c:ext>
            </c:extLst>
          </c:dPt>
          <c:dPt>
            <c:idx val="1"/>
            <c:bubble3D val="0"/>
            <c:spPr>
              <a:solidFill>
                <a:schemeClr val="accent5"/>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1FB2-4933-B4F6-A9A1367E4A04}"/>
              </c:ext>
            </c:extLst>
          </c:dPt>
          <c:dLbls>
            <c:dLbl>
              <c:idx val="0"/>
              <c:layout>
                <c:manualLayout>
                  <c:x val="0.16296893669925222"/>
                  <c:y val="0.17369469123375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B2-4933-B4F6-A9A1367E4A04}"/>
                </c:ext>
              </c:extLst>
            </c:dLbl>
            <c:dLbl>
              <c:idx val="1"/>
              <c:layout>
                <c:manualLayout>
                  <c:x val="-0.13162875656478065"/>
                  <c:y val="-0.15384386937846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B2-4933-B4F6-A9A1367E4A0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 Workforce'!$F$2:$F$3</c:f>
              <c:strCache>
                <c:ptCount val="2"/>
                <c:pt idx="0">
                  <c:v>PG</c:v>
                </c:pt>
                <c:pt idx="1">
                  <c:v>UG</c:v>
                </c:pt>
              </c:strCache>
            </c:strRef>
          </c:cat>
          <c:val>
            <c:numRef>
              <c:f>'Pivot Tables - Workforce'!$G$2:$G$3</c:f>
              <c:numCache>
                <c:formatCode>General</c:formatCode>
                <c:ptCount val="2"/>
                <c:pt idx="0">
                  <c:v>27</c:v>
                </c:pt>
                <c:pt idx="1">
                  <c:v>23</c:v>
                </c:pt>
              </c:numCache>
            </c:numRef>
          </c:val>
          <c:extLst>
            <c:ext xmlns:c16="http://schemas.microsoft.com/office/drawing/2014/chart" uri="{C3380CC4-5D6E-409C-BE32-E72D297353CC}">
              <c16:uniqueId val="{00000009-F6CA-46DB-8826-0AA9A1A43E90}"/>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[Payroll Excel Project - With Formula - Final.xlsx]Pivot Tables - Workforce!HC_By Vehicle</c:name>
    <c:fmtId val="2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effectLst/>
              </a:rPr>
              <a:t>Headcount Summary by Department</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rgbClr val="17BEC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272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564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26E2A"/>
          </a:solidFill>
          <a:ln>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A78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 - Workforce'!$K$1:$K$2</c:f>
              <c:strCache>
                <c:ptCount val="1"/>
                <c:pt idx="0">
                  <c:v>Female</c:v>
                </c:pt>
              </c:strCache>
            </c:strRef>
          </c:tx>
          <c:spPr>
            <a:solidFill>
              <a:srgbClr val="F1A78A"/>
            </a:solidFill>
            <a:ln>
              <a:noFill/>
            </a:ln>
            <a:effectLst/>
            <a:sp3d/>
          </c:spPr>
          <c:invertIfNegative val="0"/>
          <c:cat>
            <c:strRef>
              <c:f>'Pivot Tables - Workforce'!$J$3:$J$7</c:f>
              <c:strCache>
                <c:ptCount val="5"/>
                <c:pt idx="0">
                  <c:v>Analytics</c:v>
                </c:pt>
                <c:pt idx="1">
                  <c:v>Finance</c:v>
                </c:pt>
                <c:pt idx="2">
                  <c:v>HR</c:v>
                </c:pt>
                <c:pt idx="3">
                  <c:v>Payroll</c:v>
                </c:pt>
                <c:pt idx="4">
                  <c:v>Sales</c:v>
                </c:pt>
              </c:strCache>
            </c:strRef>
          </c:cat>
          <c:val>
            <c:numRef>
              <c:f>'Pivot Tables - Workforce'!$K$3:$K$7</c:f>
              <c:numCache>
                <c:formatCode>General</c:formatCode>
                <c:ptCount val="5"/>
                <c:pt idx="0">
                  <c:v>5</c:v>
                </c:pt>
                <c:pt idx="1">
                  <c:v>1</c:v>
                </c:pt>
                <c:pt idx="2">
                  <c:v>3</c:v>
                </c:pt>
                <c:pt idx="3">
                  <c:v>1</c:v>
                </c:pt>
                <c:pt idx="4">
                  <c:v>2</c:v>
                </c:pt>
              </c:numCache>
            </c:numRef>
          </c:val>
          <c:extLst>
            <c:ext xmlns:c16="http://schemas.microsoft.com/office/drawing/2014/chart" uri="{C3380CC4-5D6E-409C-BE32-E72D297353CC}">
              <c16:uniqueId val="{0000001A-5AAE-48E7-8210-59EA806A7EFC}"/>
            </c:ext>
          </c:extLst>
        </c:ser>
        <c:ser>
          <c:idx val="1"/>
          <c:order val="1"/>
          <c:tx>
            <c:strRef>
              <c:f>'Pivot Tables - Workforce'!$L$1:$L$2</c:f>
              <c:strCache>
                <c:ptCount val="1"/>
                <c:pt idx="0">
                  <c:v>Male</c:v>
                </c:pt>
              </c:strCache>
            </c:strRef>
          </c:tx>
          <c:spPr>
            <a:solidFill>
              <a:srgbClr val="D26E2A"/>
            </a:solidFill>
            <a:ln>
              <a:noFill/>
            </a:ln>
            <a:effectLst>
              <a:innerShdw blurRad="63500" dist="50800" dir="10800000">
                <a:prstClr val="black">
                  <a:alpha val="50000"/>
                </a:prstClr>
              </a:innerShdw>
            </a:effectLst>
            <a:sp3d/>
          </c:spPr>
          <c:invertIfNegative val="0"/>
          <c:cat>
            <c:strRef>
              <c:f>'Pivot Tables - Workforce'!$J$3:$J$7</c:f>
              <c:strCache>
                <c:ptCount val="5"/>
                <c:pt idx="0">
                  <c:v>Analytics</c:v>
                </c:pt>
                <c:pt idx="1">
                  <c:v>Finance</c:v>
                </c:pt>
                <c:pt idx="2">
                  <c:v>HR</c:v>
                </c:pt>
                <c:pt idx="3">
                  <c:v>Payroll</c:v>
                </c:pt>
                <c:pt idx="4">
                  <c:v>Sales</c:v>
                </c:pt>
              </c:strCache>
            </c:strRef>
          </c:cat>
          <c:val>
            <c:numRef>
              <c:f>'Pivot Tables - Workforce'!$L$3:$L$7</c:f>
              <c:numCache>
                <c:formatCode>General</c:formatCode>
                <c:ptCount val="5"/>
                <c:pt idx="0">
                  <c:v>5</c:v>
                </c:pt>
                <c:pt idx="1">
                  <c:v>9</c:v>
                </c:pt>
                <c:pt idx="2">
                  <c:v>7</c:v>
                </c:pt>
                <c:pt idx="3">
                  <c:v>9</c:v>
                </c:pt>
                <c:pt idx="4">
                  <c:v>8</c:v>
                </c:pt>
              </c:numCache>
            </c:numRef>
          </c:val>
          <c:extLst>
            <c:ext xmlns:c16="http://schemas.microsoft.com/office/drawing/2014/chart" uri="{C3380CC4-5D6E-409C-BE32-E72D297353CC}">
              <c16:uniqueId val="{00000001-CD3B-4706-960A-00946B339209}"/>
            </c:ext>
          </c:extLst>
        </c:ser>
        <c:dLbls>
          <c:showLegendKey val="0"/>
          <c:showVal val="0"/>
          <c:showCatName val="0"/>
          <c:showSerName val="0"/>
          <c:showPercent val="0"/>
          <c:showBubbleSize val="0"/>
        </c:dLbls>
        <c:gapWidth val="114"/>
        <c:shape val="box"/>
        <c:axId val="1802097136"/>
        <c:axId val="1802090416"/>
        <c:axId val="0"/>
      </c:bar3DChart>
      <c:catAx>
        <c:axId val="1802097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2090416"/>
        <c:crosses val="autoZero"/>
        <c:auto val="1"/>
        <c:lblAlgn val="ctr"/>
        <c:lblOffset val="100"/>
        <c:noMultiLvlLbl val="0"/>
      </c:catAx>
      <c:valAx>
        <c:axId val="18020904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209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Workforce!HC_ByLocation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ysClr val="windowText" lastClr="000000">
                    <a:lumMod val="65000"/>
                    <a:lumOff val="35000"/>
                  </a:sysClr>
                </a:solidFill>
                <a:effectLst/>
              </a:rPr>
              <a:t>Employee Distribution by Location </a:t>
            </a:r>
            <a:endParaRPr lang="en-IN" sz="1400" b="1"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7B6D2"/>
          </a:solidFill>
          <a:ln>
            <a:noFill/>
          </a:ln>
          <a:effectLst>
            <a:outerShdw blurRad="63500" sx="102000" sy="102000" algn="ctr" rotWithShape="0">
              <a:prstClr val="black">
                <a:alpha val="40000"/>
              </a:prstClr>
            </a:outerShdw>
          </a:effectLst>
        </c:spPr>
      </c:pivotFmt>
      <c:pivotFmt>
        <c:idx val="2"/>
        <c:spPr>
          <a:solidFill>
            <a:srgbClr val="BCBD22"/>
          </a:solidFill>
          <a:ln>
            <a:noFill/>
          </a:ln>
          <a:effectLst>
            <a:outerShdw blurRad="63500" sx="102000" sy="102000" algn="ctr" rotWithShape="0">
              <a:prstClr val="black">
                <a:alpha val="40000"/>
              </a:prstClr>
            </a:outerShdw>
          </a:effectLst>
        </c:spPr>
      </c:pivotFmt>
      <c:pivotFmt>
        <c:idx val="3"/>
        <c:spPr>
          <a:solidFill>
            <a:srgbClr val="7F7F7F"/>
          </a:solidFill>
          <a:ln>
            <a:noFill/>
          </a:ln>
          <a:effectLst>
            <a:outerShdw blurRad="63500" sx="102000" sy="102000" algn="ctr" rotWithShape="0">
              <a:prstClr val="black">
                <a:alpha val="40000"/>
              </a:prstClr>
            </a:outerShdw>
          </a:effectLst>
        </c:spPr>
      </c:pivotFmt>
      <c:pivotFmt>
        <c:idx val="4"/>
        <c:spPr>
          <a:solidFill>
            <a:srgbClr val="E377C2"/>
          </a:solidFill>
          <a:ln>
            <a:noFill/>
          </a:ln>
          <a:effectLst>
            <a:outerShdw blurRad="63500" sx="102000" sy="102000" algn="ctr" rotWithShape="0">
              <a:prstClr val="black">
                <a:alpha val="40000"/>
              </a:prstClr>
            </a:outerShdw>
          </a:effectLst>
        </c:spPr>
      </c:pivotFmt>
    </c:pivotFmts>
    <c:plotArea>
      <c:layout/>
      <c:barChart>
        <c:barDir val="bar"/>
        <c:grouping val="clustered"/>
        <c:varyColors val="0"/>
        <c:ser>
          <c:idx val="0"/>
          <c:order val="0"/>
          <c:tx>
            <c:strRef>
              <c:f>'Pivot Tables - Workforce'!$B$26</c:f>
              <c:strCache>
                <c:ptCount val="1"/>
                <c:pt idx="0">
                  <c:v>Total</c:v>
                </c:pt>
              </c:strCache>
            </c:strRef>
          </c:tx>
          <c:spPr>
            <a:solidFill>
              <a:schemeClr val="accent1"/>
            </a:solidFill>
            <a:ln>
              <a:noFill/>
            </a:ln>
            <a:effectLst>
              <a:outerShdw blurRad="63500" sx="102000" sy="102000" algn="ctr" rotWithShape="0">
                <a:prstClr val="black">
                  <a:alpha val="40000"/>
                </a:prstClr>
              </a:outerShdw>
            </a:effectLst>
          </c:spPr>
          <c:invertIfNegative val="0"/>
          <c:dPt>
            <c:idx val="0"/>
            <c:invertIfNegative val="0"/>
            <c:bubble3D val="0"/>
            <c:spPr>
              <a:solidFill>
                <a:srgbClr val="E377C2"/>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DC94-494C-8354-FDAC1133957A}"/>
              </c:ext>
            </c:extLst>
          </c:dPt>
          <c:dPt>
            <c:idx val="1"/>
            <c:invertIfNegative val="0"/>
            <c:bubble3D val="0"/>
            <c:spPr>
              <a:solidFill>
                <a:srgbClr val="7F7F7F"/>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DC94-494C-8354-FDAC1133957A}"/>
              </c:ext>
            </c:extLst>
          </c:dPt>
          <c:dPt>
            <c:idx val="2"/>
            <c:invertIfNegative val="0"/>
            <c:bubble3D val="0"/>
            <c:spPr>
              <a:solidFill>
                <a:srgbClr val="BCBD22"/>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DC94-494C-8354-FDAC1133957A}"/>
              </c:ext>
            </c:extLst>
          </c:dPt>
          <c:dPt>
            <c:idx val="3"/>
            <c:invertIfNegative val="0"/>
            <c:bubble3D val="0"/>
            <c:spPr>
              <a:solidFill>
                <a:srgbClr val="F7B6D2"/>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DC94-494C-8354-FDAC1133957A}"/>
              </c:ext>
            </c:extLst>
          </c:dPt>
          <c:cat>
            <c:strRef>
              <c:f>'Pivot Tables - Workforce'!$A$27:$A$31</c:f>
              <c:strCache>
                <c:ptCount val="5"/>
                <c:pt idx="0">
                  <c:v>Bangalore</c:v>
                </c:pt>
                <c:pt idx="1">
                  <c:v>Chennai</c:v>
                </c:pt>
                <c:pt idx="2">
                  <c:v>Hyderabad</c:v>
                </c:pt>
                <c:pt idx="3">
                  <c:v>Mumbai</c:v>
                </c:pt>
                <c:pt idx="4">
                  <c:v>Kolkata</c:v>
                </c:pt>
              </c:strCache>
            </c:strRef>
          </c:cat>
          <c:val>
            <c:numRef>
              <c:f>'Pivot Tables - Workforce'!$B$27:$B$31</c:f>
              <c:numCache>
                <c:formatCode>General</c:formatCode>
                <c:ptCount val="5"/>
                <c:pt idx="0">
                  <c:v>11</c:v>
                </c:pt>
                <c:pt idx="1">
                  <c:v>12</c:v>
                </c:pt>
                <c:pt idx="2">
                  <c:v>10</c:v>
                </c:pt>
                <c:pt idx="3">
                  <c:v>10</c:v>
                </c:pt>
                <c:pt idx="4">
                  <c:v>7</c:v>
                </c:pt>
              </c:numCache>
            </c:numRef>
          </c:val>
          <c:extLst>
            <c:ext xmlns:c16="http://schemas.microsoft.com/office/drawing/2014/chart" uri="{C3380CC4-5D6E-409C-BE32-E72D297353CC}">
              <c16:uniqueId val="{0000000D-1160-4AED-8F5D-49D38A6E9A58}"/>
            </c:ext>
          </c:extLst>
        </c:ser>
        <c:dLbls>
          <c:showLegendKey val="0"/>
          <c:showVal val="0"/>
          <c:showCatName val="0"/>
          <c:showSerName val="0"/>
          <c:showPercent val="0"/>
          <c:showBubbleSize val="0"/>
        </c:dLbls>
        <c:gapWidth val="80"/>
        <c:axId val="1131078864"/>
        <c:axId val="1131079344"/>
      </c:barChart>
      <c:catAx>
        <c:axId val="11310788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31079344"/>
        <c:crosses val="autoZero"/>
        <c:auto val="1"/>
        <c:lblAlgn val="ctr"/>
        <c:lblOffset val="100"/>
        <c:noMultiLvlLbl val="0"/>
      </c:catAx>
      <c:valAx>
        <c:axId val="11310793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3107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Workforce!HC_ByShift</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effectLst/>
              </a:rPr>
              <a:t>Employee Allocation Across Shifts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C7E8"/>
          </a:solidFill>
          <a:ln>
            <a:noFill/>
          </a:ln>
          <a:effectLst>
            <a:outerShdw blurRad="63500" sx="102000" sy="102000" algn="ctr" rotWithShape="0">
              <a:prstClr val="black">
                <a:alpha val="40000"/>
              </a:prstClr>
            </a:outerShdw>
          </a:effectLst>
          <a:sp3d/>
        </c:spPr>
      </c:pivotFmt>
      <c:pivotFmt>
        <c:idx val="2"/>
        <c:spPr>
          <a:solidFill>
            <a:srgbClr val="FFBB78"/>
          </a:solidFill>
          <a:ln>
            <a:noFill/>
          </a:ln>
          <a:effectLst>
            <a:outerShdw blurRad="63500" sx="102000" sy="102000" algn="ctr" rotWithShape="0">
              <a:prstClr val="black">
                <a:alpha val="40000"/>
              </a:prstClr>
            </a:outerShdw>
          </a:effectLst>
          <a:sp3d/>
        </c:spPr>
      </c:pivotFmt>
      <c:pivotFmt>
        <c:idx val="3"/>
        <c:spPr>
          <a:solidFill>
            <a:srgbClr val="98DF8A"/>
          </a:solidFill>
          <a:ln>
            <a:noFill/>
          </a:ln>
          <a:effectLst>
            <a:outerShdw blurRad="63500" sx="102000" sy="102000" algn="ctr" rotWithShape="0">
              <a:prstClr val="black">
                <a:alpha val="40000"/>
              </a:prst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 Workforce'!$G$23</c:f>
              <c:strCache>
                <c:ptCount val="1"/>
                <c:pt idx="0">
                  <c:v>Total</c:v>
                </c:pt>
              </c:strCache>
            </c:strRef>
          </c:tx>
          <c:spPr>
            <a:solidFill>
              <a:schemeClr val="accent1"/>
            </a:solidFill>
            <a:ln>
              <a:noFill/>
            </a:ln>
            <a:effectLst>
              <a:outerShdw blurRad="63500" sx="102000" sy="102000" algn="ctr" rotWithShape="0">
                <a:prstClr val="black">
                  <a:alpha val="40000"/>
                </a:prstClr>
              </a:outerShdw>
            </a:effectLst>
            <a:sp3d/>
          </c:spPr>
          <c:invertIfNegative val="0"/>
          <c:dPt>
            <c:idx val="0"/>
            <c:invertIfNegative val="0"/>
            <c:bubble3D val="0"/>
            <c:spPr>
              <a:solidFill>
                <a:srgbClr val="AEC7E8"/>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1-E7BA-44D5-8249-30BFE8477B58}"/>
              </c:ext>
            </c:extLst>
          </c:dPt>
          <c:dPt>
            <c:idx val="1"/>
            <c:invertIfNegative val="0"/>
            <c:bubble3D val="0"/>
            <c:spPr>
              <a:solidFill>
                <a:srgbClr val="FFBB78"/>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3-E7BA-44D5-8249-30BFE8477B58}"/>
              </c:ext>
            </c:extLst>
          </c:dPt>
          <c:dPt>
            <c:idx val="2"/>
            <c:invertIfNegative val="0"/>
            <c:bubble3D val="0"/>
            <c:spPr>
              <a:solidFill>
                <a:srgbClr val="98DF8A"/>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5-E7BA-44D5-8249-30BFE8477B58}"/>
              </c:ext>
            </c:extLst>
          </c:dPt>
          <c:cat>
            <c:strRef>
              <c:f>'Pivot Tables - Workforce'!$F$24:$F$26</c:f>
              <c:strCache>
                <c:ptCount val="3"/>
                <c:pt idx="0">
                  <c:v>Day</c:v>
                </c:pt>
                <c:pt idx="1">
                  <c:v>Mid</c:v>
                </c:pt>
                <c:pt idx="2">
                  <c:v>Night</c:v>
                </c:pt>
              </c:strCache>
            </c:strRef>
          </c:cat>
          <c:val>
            <c:numRef>
              <c:f>'Pivot Tables - Workforce'!$G$24:$G$26</c:f>
              <c:numCache>
                <c:formatCode>General</c:formatCode>
                <c:ptCount val="3"/>
                <c:pt idx="0">
                  <c:v>25</c:v>
                </c:pt>
                <c:pt idx="1">
                  <c:v>17</c:v>
                </c:pt>
                <c:pt idx="2">
                  <c:v>8</c:v>
                </c:pt>
              </c:numCache>
            </c:numRef>
          </c:val>
          <c:extLst>
            <c:ext xmlns:c16="http://schemas.microsoft.com/office/drawing/2014/chart" uri="{C3380CC4-5D6E-409C-BE32-E72D297353CC}">
              <c16:uniqueId val="{00000008-E076-4728-A843-7993E0B52707}"/>
            </c:ext>
          </c:extLst>
        </c:ser>
        <c:dLbls>
          <c:showLegendKey val="0"/>
          <c:showVal val="0"/>
          <c:showCatName val="0"/>
          <c:showSerName val="0"/>
          <c:showPercent val="0"/>
          <c:showBubbleSize val="0"/>
        </c:dLbls>
        <c:gapWidth val="150"/>
        <c:shape val="box"/>
        <c:axId val="1802088016"/>
        <c:axId val="1818206976"/>
        <c:axId val="0"/>
      </c:bar3DChart>
      <c:catAx>
        <c:axId val="1802088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18206976"/>
        <c:crosses val="autoZero"/>
        <c:auto val="1"/>
        <c:lblAlgn val="ctr"/>
        <c:lblOffset val="100"/>
        <c:noMultiLvlLbl val="0"/>
      </c:catAx>
      <c:valAx>
        <c:axId val="1818206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208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 Marital</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Department Presence Across Locations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516163604549437"/>
              <c:y val="-5.245625546806648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066463765817275"/>
              <c:y val="1.149642752989207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2196191946074"/>
          <c:y val="0.10603258578902529"/>
          <c:w val="0.76741305480750177"/>
          <c:h val="0.75105357262789496"/>
        </c:manualLayout>
      </c:layout>
      <c:barChart>
        <c:barDir val="col"/>
        <c:grouping val="stacked"/>
        <c:varyColors val="0"/>
        <c:ser>
          <c:idx val="0"/>
          <c:order val="0"/>
          <c:tx>
            <c:strRef>
              <c:f>'Pivot Tables - Workforce'!$K$24:$K$25</c:f>
              <c:strCache>
                <c:ptCount val="1"/>
                <c:pt idx="0">
                  <c:v>Analytics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Workforce'!$K$26:$K$30</c:f>
              <c:numCache>
                <c:formatCode>General</c:formatCode>
                <c:ptCount val="5"/>
                <c:pt idx="0">
                  <c:v>3</c:v>
                </c:pt>
                <c:pt idx="1">
                  <c:v>2</c:v>
                </c:pt>
                <c:pt idx="2">
                  <c:v>2</c:v>
                </c:pt>
                <c:pt idx="3">
                  <c:v>2</c:v>
                </c:pt>
                <c:pt idx="4">
                  <c:v>1</c:v>
                </c:pt>
              </c:numCache>
            </c:numRef>
          </c:val>
          <c:extLst>
            <c:ext xmlns:c16="http://schemas.microsoft.com/office/drawing/2014/chart" uri="{C3380CC4-5D6E-409C-BE32-E72D297353CC}">
              <c16:uniqueId val="{00000022-5961-4244-8AC5-C0C48C0498C4}"/>
            </c:ext>
          </c:extLst>
        </c:ser>
        <c:ser>
          <c:idx val="1"/>
          <c:order val="1"/>
          <c:tx>
            <c:strRef>
              <c:f>'Pivot Tables - Workforce'!$L$24:$L$25</c:f>
              <c:strCache>
                <c:ptCount val="1"/>
                <c:pt idx="0">
                  <c:v>Finance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Workforce'!$L$26:$L$30</c:f>
              <c:numCache>
                <c:formatCode>General</c:formatCode>
                <c:ptCount val="5"/>
                <c:pt idx="0">
                  <c:v>3</c:v>
                </c:pt>
                <c:pt idx="1">
                  <c:v>2</c:v>
                </c:pt>
                <c:pt idx="2">
                  <c:v>1</c:v>
                </c:pt>
                <c:pt idx="3">
                  <c:v>1</c:v>
                </c:pt>
                <c:pt idx="4">
                  <c:v>3</c:v>
                </c:pt>
              </c:numCache>
            </c:numRef>
          </c:val>
          <c:extLst>
            <c:ext xmlns:c16="http://schemas.microsoft.com/office/drawing/2014/chart" uri="{C3380CC4-5D6E-409C-BE32-E72D297353CC}">
              <c16:uniqueId val="{00000000-8F56-4585-9170-0ABF27219F53}"/>
            </c:ext>
          </c:extLst>
        </c:ser>
        <c:ser>
          <c:idx val="2"/>
          <c:order val="2"/>
          <c:tx>
            <c:strRef>
              <c:f>'Pivot Tables - Workforce'!$M$24:$M$25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Workforce'!$M$26:$M$30</c:f>
              <c:numCache>
                <c:formatCode>General</c:formatCode>
                <c:ptCount val="5"/>
                <c:pt idx="0">
                  <c:v>4</c:v>
                </c:pt>
                <c:pt idx="1">
                  <c:v>3</c:v>
                </c:pt>
                <c:pt idx="2">
                  <c:v>1</c:v>
                </c:pt>
                <c:pt idx="4">
                  <c:v>2</c:v>
                </c:pt>
              </c:numCache>
            </c:numRef>
          </c:val>
          <c:extLst>
            <c:ext xmlns:c16="http://schemas.microsoft.com/office/drawing/2014/chart" uri="{C3380CC4-5D6E-409C-BE32-E72D297353CC}">
              <c16:uniqueId val="{00000001-8F56-4585-9170-0ABF27219F53}"/>
            </c:ext>
          </c:extLst>
        </c:ser>
        <c:ser>
          <c:idx val="3"/>
          <c:order val="3"/>
          <c:tx>
            <c:strRef>
              <c:f>'Pivot Tables - Workforce'!$N$24:$N$25</c:f>
              <c:strCache>
                <c:ptCount val="1"/>
                <c:pt idx="0">
                  <c:v>Payroll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Workforce'!$N$26:$N$30</c:f>
              <c:numCache>
                <c:formatCode>General</c:formatCode>
                <c:ptCount val="5"/>
                <c:pt idx="1">
                  <c:v>3</c:v>
                </c:pt>
                <c:pt idx="2">
                  <c:v>2</c:v>
                </c:pt>
                <c:pt idx="3">
                  <c:v>2</c:v>
                </c:pt>
                <c:pt idx="4">
                  <c:v>3</c:v>
                </c:pt>
              </c:numCache>
            </c:numRef>
          </c:val>
          <c:extLst>
            <c:ext xmlns:c16="http://schemas.microsoft.com/office/drawing/2014/chart" uri="{C3380CC4-5D6E-409C-BE32-E72D297353CC}">
              <c16:uniqueId val="{00000002-8F56-4585-9170-0ABF27219F53}"/>
            </c:ext>
          </c:extLst>
        </c:ser>
        <c:ser>
          <c:idx val="4"/>
          <c:order val="4"/>
          <c:tx>
            <c:strRef>
              <c:f>'Pivot Tables - Workforce'!$O$24:$O$25</c:f>
              <c:strCache>
                <c:ptCount val="1"/>
                <c:pt idx="0">
                  <c:v>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Workforce'!$O$26:$O$30</c:f>
              <c:numCache>
                <c:formatCode>General</c:formatCode>
                <c:ptCount val="5"/>
                <c:pt idx="0">
                  <c:v>1</c:v>
                </c:pt>
                <c:pt idx="1">
                  <c:v>2</c:v>
                </c:pt>
                <c:pt idx="2">
                  <c:v>4</c:v>
                </c:pt>
                <c:pt idx="3">
                  <c:v>2</c:v>
                </c:pt>
                <c:pt idx="4">
                  <c:v>1</c:v>
                </c:pt>
              </c:numCache>
            </c:numRef>
          </c:val>
          <c:extLst>
            <c:ext xmlns:c16="http://schemas.microsoft.com/office/drawing/2014/chart" uri="{C3380CC4-5D6E-409C-BE32-E72D297353CC}">
              <c16:uniqueId val="{00000002-655B-4551-BB65-A00E10071957}"/>
            </c:ext>
          </c:extLst>
        </c:ser>
        <c:dLbls>
          <c:dLblPos val="ctr"/>
          <c:showLegendKey val="0"/>
          <c:showVal val="1"/>
          <c:showCatName val="0"/>
          <c:showSerName val="0"/>
          <c:showPercent val="0"/>
          <c:showBubbleSize val="0"/>
        </c:dLbls>
        <c:gapWidth val="150"/>
        <c:overlap val="100"/>
        <c:axId val="101117871"/>
        <c:axId val="101118351"/>
      </c:barChart>
      <c:catAx>
        <c:axId val="10111787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8351"/>
        <c:crosses val="autoZero"/>
        <c:auto val="1"/>
        <c:lblAlgn val="ctr"/>
        <c:lblOffset val="100"/>
        <c:noMultiLvlLbl val="0"/>
      </c:catAx>
      <c:valAx>
        <c:axId val="101118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 Dept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effectLst/>
              </a:rPr>
              <a:t>Departmental Workforce Distribution</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36291470362387E-2"/>
          <c:y val="0.19132728697650639"/>
          <c:w val="0.84845296264977088"/>
          <c:h val="0.62111748085204577"/>
        </c:manualLayout>
      </c:layout>
      <c:barChart>
        <c:barDir val="col"/>
        <c:grouping val="clustered"/>
        <c:varyColors val="0"/>
        <c:ser>
          <c:idx val="0"/>
          <c:order val="0"/>
          <c:tx>
            <c:strRef>
              <c:f>'Pivot Tables - Workforce'!$B$1:$B$2</c:f>
              <c:strCache>
                <c:ptCount val="1"/>
                <c:pt idx="0">
                  <c:v>Active</c:v>
                </c:pt>
              </c:strCache>
            </c:strRef>
          </c:tx>
          <c:spPr>
            <a:solidFill>
              <a:schemeClr val="accent1"/>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Workforce'!$A$3:$A$7</c:f>
              <c:strCache>
                <c:ptCount val="5"/>
                <c:pt idx="0">
                  <c:v>Analytics</c:v>
                </c:pt>
                <c:pt idx="1">
                  <c:v>Finance</c:v>
                </c:pt>
                <c:pt idx="2">
                  <c:v>HR</c:v>
                </c:pt>
                <c:pt idx="3">
                  <c:v>Payroll</c:v>
                </c:pt>
                <c:pt idx="4">
                  <c:v>Sales</c:v>
                </c:pt>
              </c:strCache>
            </c:strRef>
          </c:cat>
          <c:val>
            <c:numRef>
              <c:f>'Pivot Tables - Workforce'!$B$3:$B$7</c:f>
              <c:numCache>
                <c:formatCode>General</c:formatCode>
                <c:ptCount val="5"/>
                <c:pt idx="0">
                  <c:v>8</c:v>
                </c:pt>
                <c:pt idx="1">
                  <c:v>7</c:v>
                </c:pt>
                <c:pt idx="2">
                  <c:v>9</c:v>
                </c:pt>
                <c:pt idx="3">
                  <c:v>6</c:v>
                </c:pt>
                <c:pt idx="4">
                  <c:v>8</c:v>
                </c:pt>
              </c:numCache>
            </c:numRef>
          </c:val>
          <c:extLst>
            <c:ext xmlns:c16="http://schemas.microsoft.com/office/drawing/2014/chart" uri="{C3380CC4-5D6E-409C-BE32-E72D297353CC}">
              <c16:uniqueId val="{00000010-149A-43F4-B9EA-B5E1152069E8}"/>
            </c:ext>
          </c:extLst>
        </c:ser>
        <c:ser>
          <c:idx val="1"/>
          <c:order val="1"/>
          <c:tx>
            <c:strRef>
              <c:f>'Pivot Tables - Workforce'!$C$1:$C$2</c:f>
              <c:strCache>
                <c:ptCount val="1"/>
                <c:pt idx="0">
                  <c:v>Relieved</c:v>
                </c:pt>
              </c:strCache>
            </c:strRef>
          </c:tx>
          <c:spPr>
            <a:solidFill>
              <a:schemeClr val="accent2"/>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Workforce'!$A$3:$A$7</c:f>
              <c:strCache>
                <c:ptCount val="5"/>
                <c:pt idx="0">
                  <c:v>Analytics</c:v>
                </c:pt>
                <c:pt idx="1">
                  <c:v>Finance</c:v>
                </c:pt>
                <c:pt idx="2">
                  <c:v>HR</c:v>
                </c:pt>
                <c:pt idx="3">
                  <c:v>Payroll</c:v>
                </c:pt>
                <c:pt idx="4">
                  <c:v>Sales</c:v>
                </c:pt>
              </c:strCache>
            </c:strRef>
          </c:cat>
          <c:val>
            <c:numRef>
              <c:f>'Pivot Tables - Workforce'!$C$3:$C$7</c:f>
              <c:numCache>
                <c:formatCode>General</c:formatCode>
                <c:ptCount val="5"/>
                <c:pt idx="0">
                  <c:v>2</c:v>
                </c:pt>
                <c:pt idx="1">
                  <c:v>3</c:v>
                </c:pt>
                <c:pt idx="2">
                  <c:v>1</c:v>
                </c:pt>
                <c:pt idx="3">
                  <c:v>4</c:v>
                </c:pt>
                <c:pt idx="4">
                  <c:v>2</c:v>
                </c:pt>
              </c:numCache>
            </c:numRef>
          </c:val>
          <c:extLst>
            <c:ext xmlns:c16="http://schemas.microsoft.com/office/drawing/2014/chart" uri="{C3380CC4-5D6E-409C-BE32-E72D297353CC}">
              <c16:uniqueId val="{00000001-DDAB-4120-9237-A0A59ADBBA98}"/>
            </c:ext>
          </c:extLst>
        </c:ser>
        <c:dLbls>
          <c:showLegendKey val="0"/>
          <c:showVal val="0"/>
          <c:showCatName val="0"/>
          <c:showSerName val="0"/>
          <c:showPercent val="0"/>
          <c:showBubbleSize val="0"/>
        </c:dLbls>
        <c:gapWidth val="77"/>
        <c:overlap val="-27"/>
        <c:axId val="379542047"/>
        <c:axId val="379542527"/>
      </c:barChart>
      <c:catAx>
        <c:axId val="37954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79542527"/>
        <c:crosses val="autoZero"/>
        <c:auto val="1"/>
        <c:lblAlgn val="ctr"/>
        <c:lblOffset val="100"/>
        <c:noMultiLvlLbl val="0"/>
      </c:catAx>
      <c:valAx>
        <c:axId val="37954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7954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Workforce!HC_ByLocation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ysClr val="windowText" lastClr="000000">
                    <a:lumMod val="65000"/>
                    <a:lumOff val="35000"/>
                  </a:sysClr>
                </a:solidFill>
                <a:effectLst/>
              </a:rPr>
              <a:t>Employee Distribution by Location </a:t>
            </a:r>
            <a:endParaRPr lang="en-IN" sz="1400" b="1"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7B6D2"/>
          </a:solidFill>
          <a:ln>
            <a:noFill/>
          </a:ln>
          <a:effectLst>
            <a:outerShdw blurRad="63500" sx="102000" sy="102000" algn="ctr" rotWithShape="0">
              <a:prstClr val="black">
                <a:alpha val="40000"/>
              </a:prstClr>
            </a:outerShdw>
          </a:effectLst>
        </c:spPr>
      </c:pivotFmt>
      <c:pivotFmt>
        <c:idx val="2"/>
        <c:spPr>
          <a:solidFill>
            <a:srgbClr val="BCBD22"/>
          </a:solidFill>
          <a:ln>
            <a:noFill/>
          </a:ln>
          <a:effectLst>
            <a:outerShdw blurRad="63500" sx="102000" sy="102000" algn="ctr" rotWithShape="0">
              <a:prstClr val="black">
                <a:alpha val="40000"/>
              </a:prstClr>
            </a:outerShdw>
          </a:effectLst>
        </c:spPr>
      </c:pivotFmt>
      <c:pivotFmt>
        <c:idx val="3"/>
        <c:spPr>
          <a:solidFill>
            <a:srgbClr val="7F7F7F"/>
          </a:solidFill>
          <a:ln>
            <a:noFill/>
          </a:ln>
          <a:effectLst>
            <a:outerShdw blurRad="63500" sx="102000" sy="102000" algn="ctr" rotWithShape="0">
              <a:prstClr val="black">
                <a:alpha val="40000"/>
              </a:prstClr>
            </a:outerShdw>
          </a:effectLst>
        </c:spPr>
      </c:pivotFmt>
      <c:pivotFmt>
        <c:idx val="4"/>
        <c:spPr>
          <a:solidFill>
            <a:srgbClr val="E377C2"/>
          </a:solidFill>
          <a:ln>
            <a:noFill/>
          </a:ln>
          <a:effectLst>
            <a:outerShdw blurRad="63500" sx="102000" sy="102000" algn="ctr" rotWithShape="0">
              <a:prstClr val="black">
                <a:alpha val="40000"/>
              </a:prstClr>
            </a:outerShdw>
          </a:effectLst>
        </c:spPr>
      </c:pivotFmt>
      <c:pivotFmt>
        <c:idx val="5"/>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377C2"/>
          </a:solidFill>
          <a:ln>
            <a:noFill/>
          </a:ln>
          <a:effectLst>
            <a:outerShdw blurRad="63500" sx="102000" sy="102000" algn="ctr" rotWithShape="0">
              <a:prstClr val="black">
                <a:alpha val="40000"/>
              </a:prstClr>
            </a:outerShdw>
          </a:effectLst>
        </c:spPr>
      </c:pivotFmt>
      <c:pivotFmt>
        <c:idx val="7"/>
        <c:spPr>
          <a:solidFill>
            <a:srgbClr val="7F7F7F"/>
          </a:solidFill>
          <a:ln>
            <a:noFill/>
          </a:ln>
          <a:effectLst>
            <a:outerShdw blurRad="63500" sx="102000" sy="102000" algn="ctr" rotWithShape="0">
              <a:prstClr val="black">
                <a:alpha val="40000"/>
              </a:prstClr>
            </a:outerShdw>
          </a:effectLst>
        </c:spPr>
      </c:pivotFmt>
      <c:pivotFmt>
        <c:idx val="8"/>
        <c:spPr>
          <a:solidFill>
            <a:srgbClr val="BCBD22"/>
          </a:solidFill>
          <a:ln>
            <a:noFill/>
          </a:ln>
          <a:effectLst>
            <a:outerShdw blurRad="63500" sx="102000" sy="102000" algn="ctr" rotWithShape="0">
              <a:prstClr val="black">
                <a:alpha val="40000"/>
              </a:prstClr>
            </a:outerShdw>
          </a:effectLst>
        </c:spPr>
      </c:pivotFmt>
      <c:pivotFmt>
        <c:idx val="9"/>
        <c:spPr>
          <a:solidFill>
            <a:srgbClr val="F7B6D2"/>
          </a:solidFill>
          <a:ln>
            <a:noFill/>
          </a:ln>
          <a:effectLst>
            <a:outerShdw blurRad="63500" sx="102000" sy="102000" algn="ctr" rotWithShape="0">
              <a:prstClr val="black">
                <a:alpha val="40000"/>
              </a:prstClr>
            </a:outerShdw>
          </a:effectLst>
        </c:spPr>
      </c:pivotFmt>
      <c:pivotFmt>
        <c:idx val="1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377C2"/>
          </a:solidFill>
          <a:ln>
            <a:noFill/>
          </a:ln>
          <a:effectLst>
            <a:outerShdw blurRad="63500" sx="102000" sy="102000" algn="ctr" rotWithShape="0">
              <a:prstClr val="black">
                <a:alpha val="40000"/>
              </a:prstClr>
            </a:outerShdw>
          </a:effectLst>
        </c:spPr>
      </c:pivotFmt>
      <c:pivotFmt>
        <c:idx val="12"/>
        <c:spPr>
          <a:solidFill>
            <a:srgbClr val="7F7F7F"/>
          </a:solidFill>
          <a:ln>
            <a:noFill/>
          </a:ln>
          <a:effectLst>
            <a:outerShdw blurRad="63500" sx="102000" sy="102000" algn="ctr" rotWithShape="0">
              <a:prstClr val="black">
                <a:alpha val="40000"/>
              </a:prstClr>
            </a:outerShdw>
          </a:effectLst>
        </c:spPr>
      </c:pivotFmt>
      <c:pivotFmt>
        <c:idx val="13"/>
        <c:spPr>
          <a:solidFill>
            <a:srgbClr val="BCBD22"/>
          </a:solidFill>
          <a:ln>
            <a:noFill/>
          </a:ln>
          <a:effectLst>
            <a:outerShdw blurRad="63500" sx="102000" sy="102000" algn="ctr" rotWithShape="0">
              <a:prstClr val="black">
                <a:alpha val="40000"/>
              </a:prstClr>
            </a:outerShdw>
          </a:effectLst>
        </c:spPr>
      </c:pivotFmt>
      <c:pivotFmt>
        <c:idx val="14"/>
        <c:spPr>
          <a:solidFill>
            <a:srgbClr val="F7B6D2"/>
          </a:solidFill>
          <a:ln>
            <a:noFill/>
          </a:ln>
          <a:effectLst>
            <a:outerShdw blurRad="63500" sx="102000" sy="102000" algn="ctr" rotWithShape="0">
              <a:prstClr val="black">
                <a:alpha val="40000"/>
              </a:prstClr>
            </a:outerShdw>
          </a:effectLst>
        </c:spPr>
      </c:pivotFmt>
    </c:pivotFmts>
    <c:plotArea>
      <c:layout/>
      <c:barChart>
        <c:barDir val="bar"/>
        <c:grouping val="clustered"/>
        <c:varyColors val="0"/>
        <c:ser>
          <c:idx val="0"/>
          <c:order val="0"/>
          <c:tx>
            <c:strRef>
              <c:f>'Pivot Tables - Workforce'!$B$26</c:f>
              <c:strCache>
                <c:ptCount val="1"/>
                <c:pt idx="0">
                  <c:v>Total</c:v>
                </c:pt>
              </c:strCache>
            </c:strRef>
          </c:tx>
          <c:spPr>
            <a:solidFill>
              <a:schemeClr val="accent1"/>
            </a:solidFill>
            <a:ln>
              <a:noFill/>
            </a:ln>
            <a:effectLst>
              <a:outerShdw blurRad="63500" sx="102000" sy="102000" algn="ctr" rotWithShape="0">
                <a:prstClr val="black">
                  <a:alpha val="40000"/>
                </a:prstClr>
              </a:outerShdw>
            </a:effectLst>
          </c:spPr>
          <c:invertIfNegative val="0"/>
          <c:dPt>
            <c:idx val="0"/>
            <c:invertIfNegative val="0"/>
            <c:bubble3D val="0"/>
            <c:spPr>
              <a:solidFill>
                <a:srgbClr val="E377C2"/>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E2BF-443C-8E77-0EDFCD627E91}"/>
              </c:ext>
            </c:extLst>
          </c:dPt>
          <c:dPt>
            <c:idx val="1"/>
            <c:invertIfNegative val="0"/>
            <c:bubble3D val="0"/>
            <c:spPr>
              <a:solidFill>
                <a:srgbClr val="7F7F7F"/>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E2BF-443C-8E77-0EDFCD627E91}"/>
              </c:ext>
            </c:extLst>
          </c:dPt>
          <c:dPt>
            <c:idx val="2"/>
            <c:invertIfNegative val="0"/>
            <c:bubble3D val="0"/>
            <c:spPr>
              <a:solidFill>
                <a:srgbClr val="BCBD22"/>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E2BF-443C-8E77-0EDFCD627E91}"/>
              </c:ext>
            </c:extLst>
          </c:dPt>
          <c:dPt>
            <c:idx val="3"/>
            <c:invertIfNegative val="0"/>
            <c:bubble3D val="0"/>
            <c:spPr>
              <a:solidFill>
                <a:srgbClr val="F7B6D2"/>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E2BF-443C-8E77-0EDFCD627E91}"/>
              </c:ext>
            </c:extLst>
          </c:dPt>
          <c:cat>
            <c:strRef>
              <c:f>'Pivot Tables - Workforce'!$A$27:$A$31</c:f>
              <c:strCache>
                <c:ptCount val="5"/>
                <c:pt idx="0">
                  <c:v>Bangalore</c:v>
                </c:pt>
                <c:pt idx="1">
                  <c:v>Chennai</c:v>
                </c:pt>
                <c:pt idx="2">
                  <c:v>Hyderabad</c:v>
                </c:pt>
                <c:pt idx="3">
                  <c:v>Mumbai</c:v>
                </c:pt>
                <c:pt idx="4">
                  <c:v>Kolkata</c:v>
                </c:pt>
              </c:strCache>
            </c:strRef>
          </c:cat>
          <c:val>
            <c:numRef>
              <c:f>'Pivot Tables - Workforce'!$B$27:$B$31</c:f>
              <c:numCache>
                <c:formatCode>General</c:formatCode>
                <c:ptCount val="5"/>
                <c:pt idx="0">
                  <c:v>11</c:v>
                </c:pt>
                <c:pt idx="1">
                  <c:v>12</c:v>
                </c:pt>
                <c:pt idx="2">
                  <c:v>10</c:v>
                </c:pt>
                <c:pt idx="3">
                  <c:v>10</c:v>
                </c:pt>
                <c:pt idx="4">
                  <c:v>7</c:v>
                </c:pt>
              </c:numCache>
            </c:numRef>
          </c:val>
          <c:extLst>
            <c:ext xmlns:c16="http://schemas.microsoft.com/office/drawing/2014/chart" uri="{C3380CC4-5D6E-409C-BE32-E72D297353CC}">
              <c16:uniqueId val="{0000000C-7E20-482A-8793-B69A3D20CC9B}"/>
            </c:ext>
          </c:extLst>
        </c:ser>
        <c:dLbls>
          <c:showLegendKey val="0"/>
          <c:showVal val="0"/>
          <c:showCatName val="0"/>
          <c:showSerName val="0"/>
          <c:showPercent val="0"/>
          <c:showBubbleSize val="0"/>
        </c:dLbls>
        <c:gapWidth val="80"/>
        <c:axId val="1131078864"/>
        <c:axId val="1131079344"/>
      </c:barChart>
      <c:catAx>
        <c:axId val="11310788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31079344"/>
        <c:crosses val="autoZero"/>
        <c:auto val="1"/>
        <c:lblAlgn val="ctr"/>
        <c:lblOffset val="100"/>
        <c:noMultiLvlLbl val="0"/>
      </c:catAx>
      <c:valAx>
        <c:axId val="11310793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3107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Workforce!HC_ByShift</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effectLst/>
              </a:rPr>
              <a:t>Employee Allocation Across Shifts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C7E8"/>
          </a:solidFill>
          <a:ln>
            <a:noFill/>
          </a:ln>
          <a:effectLst>
            <a:outerShdw blurRad="63500" sx="102000" sy="102000" algn="ctr" rotWithShape="0">
              <a:prstClr val="black">
                <a:alpha val="40000"/>
              </a:prstClr>
            </a:outerShdw>
          </a:effectLst>
          <a:sp3d/>
        </c:spPr>
      </c:pivotFmt>
      <c:pivotFmt>
        <c:idx val="2"/>
        <c:spPr>
          <a:solidFill>
            <a:srgbClr val="FFBB78"/>
          </a:solidFill>
          <a:ln>
            <a:noFill/>
          </a:ln>
          <a:effectLst>
            <a:outerShdw blurRad="63500" sx="102000" sy="102000" algn="ctr" rotWithShape="0">
              <a:prstClr val="black">
                <a:alpha val="40000"/>
              </a:prstClr>
            </a:outerShdw>
          </a:effectLst>
          <a:sp3d/>
        </c:spPr>
      </c:pivotFmt>
      <c:pivotFmt>
        <c:idx val="3"/>
        <c:spPr>
          <a:solidFill>
            <a:srgbClr val="98DF8A"/>
          </a:solidFill>
          <a:ln>
            <a:noFill/>
          </a:ln>
          <a:effectLst>
            <a:outerShdw blurRad="63500" sx="102000" sy="102000" algn="ctr" rotWithShape="0">
              <a:prstClr val="black">
                <a:alpha val="40000"/>
              </a:prstClr>
            </a:outerShdw>
          </a:effectLst>
          <a:sp3d/>
        </c:spPr>
      </c:pivotFmt>
      <c:pivotFmt>
        <c:idx val="4"/>
        <c:spPr>
          <a:solidFill>
            <a:schemeClr val="accent1"/>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EC7E8"/>
          </a:solidFill>
          <a:ln>
            <a:noFill/>
          </a:ln>
          <a:effectLst>
            <a:outerShdw blurRad="63500" sx="102000" sy="102000" algn="ctr" rotWithShape="0">
              <a:prstClr val="black">
                <a:alpha val="40000"/>
              </a:prstClr>
            </a:outerShdw>
          </a:effectLst>
          <a:sp3d/>
        </c:spPr>
      </c:pivotFmt>
      <c:pivotFmt>
        <c:idx val="6"/>
        <c:spPr>
          <a:solidFill>
            <a:srgbClr val="FFBB78"/>
          </a:solidFill>
          <a:ln>
            <a:noFill/>
          </a:ln>
          <a:effectLst>
            <a:outerShdw blurRad="63500" sx="102000" sy="102000" algn="ctr" rotWithShape="0">
              <a:prstClr val="black">
                <a:alpha val="40000"/>
              </a:prstClr>
            </a:outerShdw>
          </a:effectLst>
          <a:sp3d/>
        </c:spPr>
      </c:pivotFmt>
      <c:pivotFmt>
        <c:idx val="7"/>
        <c:spPr>
          <a:solidFill>
            <a:srgbClr val="98DF8A"/>
          </a:solidFill>
          <a:ln>
            <a:noFill/>
          </a:ln>
          <a:effectLst>
            <a:outerShdw blurRad="63500" sx="102000" sy="102000" algn="ctr" rotWithShape="0">
              <a:prstClr val="black">
                <a:alpha val="40000"/>
              </a:prstClr>
            </a:outerShdw>
          </a:effectLst>
          <a:sp3d/>
        </c:spPr>
      </c:pivotFmt>
      <c:pivotFmt>
        <c:idx val="8"/>
        <c:spPr>
          <a:solidFill>
            <a:schemeClr val="accent1"/>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EC7E8"/>
          </a:solidFill>
          <a:ln>
            <a:noFill/>
          </a:ln>
          <a:effectLst>
            <a:outerShdw blurRad="63500" sx="102000" sy="102000" algn="ctr" rotWithShape="0">
              <a:prstClr val="black">
                <a:alpha val="40000"/>
              </a:prstClr>
            </a:outerShdw>
          </a:effectLst>
          <a:sp3d/>
        </c:spPr>
      </c:pivotFmt>
      <c:pivotFmt>
        <c:idx val="10"/>
        <c:spPr>
          <a:solidFill>
            <a:srgbClr val="FFBB78"/>
          </a:solidFill>
          <a:ln>
            <a:noFill/>
          </a:ln>
          <a:effectLst>
            <a:outerShdw blurRad="63500" sx="102000" sy="102000" algn="ctr" rotWithShape="0">
              <a:prstClr val="black">
                <a:alpha val="40000"/>
              </a:prstClr>
            </a:outerShdw>
          </a:effectLst>
          <a:sp3d/>
        </c:spPr>
      </c:pivotFmt>
      <c:pivotFmt>
        <c:idx val="11"/>
        <c:spPr>
          <a:solidFill>
            <a:srgbClr val="98DF8A"/>
          </a:solidFill>
          <a:ln>
            <a:noFill/>
          </a:ln>
          <a:effectLst>
            <a:outerShdw blurRad="63500" sx="102000" sy="102000" algn="ctr" rotWithShape="0">
              <a:prstClr val="black">
                <a:alpha val="40000"/>
              </a:prst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 Workforce'!$G$23</c:f>
              <c:strCache>
                <c:ptCount val="1"/>
                <c:pt idx="0">
                  <c:v>Total</c:v>
                </c:pt>
              </c:strCache>
            </c:strRef>
          </c:tx>
          <c:spPr>
            <a:solidFill>
              <a:schemeClr val="accent1"/>
            </a:solidFill>
            <a:ln>
              <a:noFill/>
            </a:ln>
            <a:effectLst>
              <a:outerShdw blurRad="63500" sx="102000" sy="102000" algn="ctr" rotWithShape="0">
                <a:prstClr val="black">
                  <a:alpha val="40000"/>
                </a:prstClr>
              </a:outerShdw>
            </a:effectLst>
            <a:sp3d/>
          </c:spPr>
          <c:invertIfNegative val="0"/>
          <c:dPt>
            <c:idx val="0"/>
            <c:invertIfNegative val="0"/>
            <c:bubble3D val="0"/>
            <c:spPr>
              <a:solidFill>
                <a:srgbClr val="AEC7E8"/>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1-96CA-439A-A4F9-9ED0B171371C}"/>
              </c:ext>
            </c:extLst>
          </c:dPt>
          <c:dPt>
            <c:idx val="1"/>
            <c:invertIfNegative val="0"/>
            <c:bubble3D val="0"/>
            <c:spPr>
              <a:solidFill>
                <a:srgbClr val="FFBB78"/>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3-96CA-439A-A4F9-9ED0B171371C}"/>
              </c:ext>
            </c:extLst>
          </c:dPt>
          <c:dPt>
            <c:idx val="2"/>
            <c:invertIfNegative val="0"/>
            <c:bubble3D val="0"/>
            <c:spPr>
              <a:solidFill>
                <a:srgbClr val="98DF8A"/>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5-96CA-439A-A4F9-9ED0B171371C}"/>
              </c:ext>
            </c:extLst>
          </c:dPt>
          <c:cat>
            <c:strRef>
              <c:f>'Pivot Tables - Workforce'!$F$24:$F$26</c:f>
              <c:strCache>
                <c:ptCount val="3"/>
                <c:pt idx="0">
                  <c:v>Day</c:v>
                </c:pt>
                <c:pt idx="1">
                  <c:v>Mid</c:v>
                </c:pt>
                <c:pt idx="2">
                  <c:v>Night</c:v>
                </c:pt>
              </c:strCache>
            </c:strRef>
          </c:cat>
          <c:val>
            <c:numRef>
              <c:f>'Pivot Tables - Workforce'!$G$24:$G$26</c:f>
              <c:numCache>
                <c:formatCode>General</c:formatCode>
                <c:ptCount val="3"/>
                <c:pt idx="0">
                  <c:v>25</c:v>
                </c:pt>
                <c:pt idx="1">
                  <c:v>17</c:v>
                </c:pt>
                <c:pt idx="2">
                  <c:v>8</c:v>
                </c:pt>
              </c:numCache>
            </c:numRef>
          </c:val>
          <c:extLst>
            <c:ext xmlns:c16="http://schemas.microsoft.com/office/drawing/2014/chart" uri="{C3380CC4-5D6E-409C-BE32-E72D297353CC}">
              <c16:uniqueId val="{0000000A-A5AC-4EEE-B10C-A08D2567D126}"/>
            </c:ext>
          </c:extLst>
        </c:ser>
        <c:dLbls>
          <c:showLegendKey val="0"/>
          <c:showVal val="0"/>
          <c:showCatName val="0"/>
          <c:showSerName val="0"/>
          <c:showPercent val="0"/>
          <c:showBubbleSize val="0"/>
        </c:dLbls>
        <c:gapWidth val="150"/>
        <c:shape val="box"/>
        <c:axId val="1802088016"/>
        <c:axId val="1818206976"/>
        <c:axId val="0"/>
      </c:bar3DChart>
      <c:catAx>
        <c:axId val="1802088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18206976"/>
        <c:crosses val="autoZero"/>
        <c:auto val="1"/>
        <c:lblAlgn val="ctr"/>
        <c:lblOffset val="100"/>
        <c:noMultiLvlLbl val="0"/>
      </c:catAx>
      <c:valAx>
        <c:axId val="1818206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208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 Marital</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Department Presence Across Locations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516163604549437"/>
              <c:y val="-5.245625546806648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066463765817275"/>
              <c:y val="1.149642752989207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2196191946074"/>
          <c:y val="0.10603258578902529"/>
          <c:w val="0.76741305480750177"/>
          <c:h val="0.79315331216433882"/>
        </c:manualLayout>
      </c:layout>
      <c:barChart>
        <c:barDir val="col"/>
        <c:grouping val="stacked"/>
        <c:varyColors val="0"/>
        <c:ser>
          <c:idx val="0"/>
          <c:order val="0"/>
          <c:tx>
            <c:strRef>
              <c:f>'Pivot Tables - Workforce'!$K$24:$K$25</c:f>
              <c:strCache>
                <c:ptCount val="1"/>
                <c:pt idx="0">
                  <c:v>Analytics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Workforce'!$K$26:$K$30</c:f>
              <c:numCache>
                <c:formatCode>General</c:formatCode>
                <c:ptCount val="5"/>
                <c:pt idx="0">
                  <c:v>3</c:v>
                </c:pt>
                <c:pt idx="1">
                  <c:v>2</c:v>
                </c:pt>
                <c:pt idx="2">
                  <c:v>2</c:v>
                </c:pt>
                <c:pt idx="3">
                  <c:v>2</c:v>
                </c:pt>
                <c:pt idx="4">
                  <c:v>1</c:v>
                </c:pt>
              </c:numCache>
            </c:numRef>
          </c:val>
          <c:extLst>
            <c:ext xmlns:c16="http://schemas.microsoft.com/office/drawing/2014/chart" uri="{C3380CC4-5D6E-409C-BE32-E72D297353CC}">
              <c16:uniqueId val="{00000010-C4BC-44C1-9D7C-6E4AB9D77749}"/>
            </c:ext>
          </c:extLst>
        </c:ser>
        <c:ser>
          <c:idx val="1"/>
          <c:order val="1"/>
          <c:tx>
            <c:strRef>
              <c:f>'Pivot Tables - Workforce'!$L$24:$L$25</c:f>
              <c:strCache>
                <c:ptCount val="1"/>
                <c:pt idx="0">
                  <c:v>Finance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Workforce'!$L$26:$L$30</c:f>
              <c:numCache>
                <c:formatCode>General</c:formatCode>
                <c:ptCount val="5"/>
                <c:pt idx="0">
                  <c:v>3</c:v>
                </c:pt>
                <c:pt idx="1">
                  <c:v>2</c:v>
                </c:pt>
                <c:pt idx="2">
                  <c:v>1</c:v>
                </c:pt>
                <c:pt idx="3">
                  <c:v>1</c:v>
                </c:pt>
                <c:pt idx="4">
                  <c:v>3</c:v>
                </c:pt>
              </c:numCache>
            </c:numRef>
          </c:val>
          <c:extLst>
            <c:ext xmlns:c16="http://schemas.microsoft.com/office/drawing/2014/chart" uri="{C3380CC4-5D6E-409C-BE32-E72D297353CC}">
              <c16:uniqueId val="{00000001-F244-4F3C-AFD7-5836C0D5CC14}"/>
            </c:ext>
          </c:extLst>
        </c:ser>
        <c:ser>
          <c:idx val="2"/>
          <c:order val="2"/>
          <c:tx>
            <c:strRef>
              <c:f>'Pivot Tables - Workforce'!$M$24:$M$25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Workforce'!$M$26:$M$30</c:f>
              <c:numCache>
                <c:formatCode>General</c:formatCode>
                <c:ptCount val="5"/>
                <c:pt idx="0">
                  <c:v>4</c:v>
                </c:pt>
                <c:pt idx="1">
                  <c:v>3</c:v>
                </c:pt>
                <c:pt idx="2">
                  <c:v>1</c:v>
                </c:pt>
                <c:pt idx="4">
                  <c:v>2</c:v>
                </c:pt>
              </c:numCache>
            </c:numRef>
          </c:val>
          <c:extLst>
            <c:ext xmlns:c16="http://schemas.microsoft.com/office/drawing/2014/chart" uri="{C3380CC4-5D6E-409C-BE32-E72D297353CC}">
              <c16:uniqueId val="{00000002-F244-4F3C-AFD7-5836C0D5CC14}"/>
            </c:ext>
          </c:extLst>
        </c:ser>
        <c:ser>
          <c:idx val="3"/>
          <c:order val="3"/>
          <c:tx>
            <c:strRef>
              <c:f>'Pivot Tables - Workforce'!$N$24:$N$25</c:f>
              <c:strCache>
                <c:ptCount val="1"/>
                <c:pt idx="0">
                  <c:v>Payroll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Workforce'!$N$26:$N$30</c:f>
              <c:numCache>
                <c:formatCode>General</c:formatCode>
                <c:ptCount val="5"/>
                <c:pt idx="1">
                  <c:v>3</c:v>
                </c:pt>
                <c:pt idx="2">
                  <c:v>2</c:v>
                </c:pt>
                <c:pt idx="3">
                  <c:v>2</c:v>
                </c:pt>
                <c:pt idx="4">
                  <c:v>3</c:v>
                </c:pt>
              </c:numCache>
            </c:numRef>
          </c:val>
          <c:extLst>
            <c:ext xmlns:c16="http://schemas.microsoft.com/office/drawing/2014/chart" uri="{C3380CC4-5D6E-409C-BE32-E72D297353CC}">
              <c16:uniqueId val="{00000003-F244-4F3C-AFD7-5836C0D5CC14}"/>
            </c:ext>
          </c:extLst>
        </c:ser>
        <c:ser>
          <c:idx val="4"/>
          <c:order val="4"/>
          <c:tx>
            <c:strRef>
              <c:f>'Pivot Tables - Workforce'!$O$24:$O$25</c:f>
              <c:strCache>
                <c:ptCount val="1"/>
                <c:pt idx="0">
                  <c:v>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Workforce'!$J$26:$J$30</c:f>
              <c:strCache>
                <c:ptCount val="5"/>
                <c:pt idx="0">
                  <c:v>Bangalore</c:v>
                </c:pt>
                <c:pt idx="1">
                  <c:v>Chennai</c:v>
                </c:pt>
                <c:pt idx="2">
                  <c:v>Hyderabad</c:v>
                </c:pt>
                <c:pt idx="3">
                  <c:v>Kolkata</c:v>
                </c:pt>
                <c:pt idx="4">
                  <c:v>Mumbai</c:v>
                </c:pt>
              </c:strCache>
            </c:strRef>
          </c:cat>
          <c:val>
            <c:numRef>
              <c:f>'Pivot Tables - Workforce'!$O$26:$O$30</c:f>
              <c:numCache>
                <c:formatCode>General</c:formatCode>
                <c:ptCount val="5"/>
                <c:pt idx="0">
                  <c:v>1</c:v>
                </c:pt>
                <c:pt idx="1">
                  <c:v>2</c:v>
                </c:pt>
                <c:pt idx="2">
                  <c:v>4</c:v>
                </c:pt>
                <c:pt idx="3">
                  <c:v>2</c:v>
                </c:pt>
                <c:pt idx="4">
                  <c:v>1</c:v>
                </c:pt>
              </c:numCache>
            </c:numRef>
          </c:val>
          <c:extLst>
            <c:ext xmlns:c16="http://schemas.microsoft.com/office/drawing/2014/chart" uri="{C3380CC4-5D6E-409C-BE32-E72D297353CC}">
              <c16:uniqueId val="{00000002-4BF8-410A-9594-BBF1EEF1C3E1}"/>
            </c:ext>
          </c:extLst>
        </c:ser>
        <c:dLbls>
          <c:dLblPos val="ctr"/>
          <c:showLegendKey val="0"/>
          <c:showVal val="1"/>
          <c:showCatName val="0"/>
          <c:showSerName val="0"/>
          <c:showPercent val="0"/>
          <c:showBubbleSize val="0"/>
        </c:dLbls>
        <c:gapWidth val="150"/>
        <c:overlap val="100"/>
        <c:axId val="101117871"/>
        <c:axId val="101118351"/>
      </c:barChart>
      <c:catAx>
        <c:axId val="10111787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8351"/>
        <c:crosses val="autoZero"/>
        <c:auto val="1"/>
        <c:lblAlgn val="ctr"/>
        <c:lblOffset val="100"/>
        <c:noMultiLvlLbl val="0"/>
      </c:catAx>
      <c:valAx>
        <c:axId val="101118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 Dept</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effectLst/>
              </a:rPr>
              <a:t>Departmental Workforce Distribution</a:t>
            </a:r>
            <a:endParaRPr lang="en-IN" sz="1400" b="0" i="0" u="none" strike="noStrike" kern="1200" spc="0" baseline="0">
              <a:solidFill>
                <a:sysClr val="windowText" lastClr="000000">
                  <a:lumMod val="65000"/>
                  <a:lumOff val="35000"/>
                </a:sysClr>
              </a:solidFill>
            </a:endParaRPr>
          </a:p>
        </c:rich>
      </c:tx>
      <c:layout>
        <c:manualLayout>
          <c:xMode val="edge"/>
          <c:yMode val="edge"/>
          <c:x val="0.15671274961597542"/>
          <c:y val="6.9080847369063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36291470362387E-2"/>
          <c:y val="0.19132728697650639"/>
          <c:w val="0.84845296264977088"/>
          <c:h val="0.62111748085204577"/>
        </c:manualLayout>
      </c:layout>
      <c:barChart>
        <c:barDir val="col"/>
        <c:grouping val="clustered"/>
        <c:varyColors val="0"/>
        <c:ser>
          <c:idx val="0"/>
          <c:order val="0"/>
          <c:tx>
            <c:strRef>
              <c:f>'Pivot Tables - Workforce'!$B$1:$B$2</c:f>
              <c:strCache>
                <c:ptCount val="1"/>
                <c:pt idx="0">
                  <c:v>Active</c:v>
                </c:pt>
              </c:strCache>
            </c:strRef>
          </c:tx>
          <c:spPr>
            <a:solidFill>
              <a:schemeClr val="accent1"/>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Workforce'!$A$3:$A$7</c:f>
              <c:strCache>
                <c:ptCount val="5"/>
                <c:pt idx="0">
                  <c:v>Analytics</c:v>
                </c:pt>
                <c:pt idx="1">
                  <c:v>Finance</c:v>
                </c:pt>
                <c:pt idx="2">
                  <c:v>HR</c:v>
                </c:pt>
                <c:pt idx="3">
                  <c:v>Payroll</c:v>
                </c:pt>
                <c:pt idx="4">
                  <c:v>Sales</c:v>
                </c:pt>
              </c:strCache>
            </c:strRef>
          </c:cat>
          <c:val>
            <c:numRef>
              <c:f>'Pivot Tables - Workforce'!$B$3:$B$7</c:f>
              <c:numCache>
                <c:formatCode>General</c:formatCode>
                <c:ptCount val="5"/>
                <c:pt idx="0">
                  <c:v>8</c:v>
                </c:pt>
                <c:pt idx="1">
                  <c:v>7</c:v>
                </c:pt>
                <c:pt idx="2">
                  <c:v>9</c:v>
                </c:pt>
                <c:pt idx="3">
                  <c:v>6</c:v>
                </c:pt>
                <c:pt idx="4">
                  <c:v>8</c:v>
                </c:pt>
              </c:numCache>
            </c:numRef>
          </c:val>
          <c:extLst>
            <c:ext xmlns:c16="http://schemas.microsoft.com/office/drawing/2014/chart" uri="{C3380CC4-5D6E-409C-BE32-E72D297353CC}">
              <c16:uniqueId val="{00000007-90DD-4519-8FE5-55DD6625F0A7}"/>
            </c:ext>
          </c:extLst>
        </c:ser>
        <c:ser>
          <c:idx val="1"/>
          <c:order val="1"/>
          <c:tx>
            <c:strRef>
              <c:f>'Pivot Tables - Workforce'!$C$1:$C$2</c:f>
              <c:strCache>
                <c:ptCount val="1"/>
                <c:pt idx="0">
                  <c:v>Relieved</c:v>
                </c:pt>
              </c:strCache>
            </c:strRef>
          </c:tx>
          <c:spPr>
            <a:solidFill>
              <a:schemeClr val="accent2"/>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Workforce'!$A$3:$A$7</c:f>
              <c:strCache>
                <c:ptCount val="5"/>
                <c:pt idx="0">
                  <c:v>Analytics</c:v>
                </c:pt>
                <c:pt idx="1">
                  <c:v>Finance</c:v>
                </c:pt>
                <c:pt idx="2">
                  <c:v>HR</c:v>
                </c:pt>
                <c:pt idx="3">
                  <c:v>Payroll</c:v>
                </c:pt>
                <c:pt idx="4">
                  <c:v>Sales</c:v>
                </c:pt>
              </c:strCache>
            </c:strRef>
          </c:cat>
          <c:val>
            <c:numRef>
              <c:f>'Pivot Tables - Workforce'!$C$3:$C$7</c:f>
              <c:numCache>
                <c:formatCode>General</c:formatCode>
                <c:ptCount val="5"/>
                <c:pt idx="0">
                  <c:v>2</c:v>
                </c:pt>
                <c:pt idx="1">
                  <c:v>3</c:v>
                </c:pt>
                <c:pt idx="2">
                  <c:v>1</c:v>
                </c:pt>
                <c:pt idx="3">
                  <c:v>4</c:v>
                </c:pt>
                <c:pt idx="4">
                  <c:v>2</c:v>
                </c:pt>
              </c:numCache>
            </c:numRef>
          </c:val>
          <c:extLst>
            <c:ext xmlns:c16="http://schemas.microsoft.com/office/drawing/2014/chart" uri="{C3380CC4-5D6E-409C-BE32-E72D297353CC}">
              <c16:uniqueId val="{00000002-B1BD-41E4-9B30-7B3929316C0C}"/>
            </c:ext>
          </c:extLst>
        </c:ser>
        <c:dLbls>
          <c:showLegendKey val="0"/>
          <c:showVal val="0"/>
          <c:showCatName val="0"/>
          <c:showSerName val="0"/>
          <c:showPercent val="0"/>
          <c:showBubbleSize val="0"/>
        </c:dLbls>
        <c:gapWidth val="77"/>
        <c:overlap val="-27"/>
        <c:axId val="379542047"/>
        <c:axId val="379542527"/>
      </c:barChart>
      <c:catAx>
        <c:axId val="37954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79542527"/>
        <c:crosses val="autoZero"/>
        <c:auto val="1"/>
        <c:lblAlgn val="ctr"/>
        <c:lblOffset val="100"/>
        <c:noMultiLvlLbl val="0"/>
      </c:catAx>
      <c:valAx>
        <c:axId val="37954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7954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Workforce!HC_By Qualification</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solidFill>
                  <a:sysClr val="windowText" lastClr="000000">
                    <a:lumMod val="65000"/>
                    <a:lumOff val="35000"/>
                  </a:sysClr>
                </a:solidFill>
                <a:effectLst/>
              </a:rPr>
              <a:t>Staffing Overview by Qualification</a:t>
            </a:r>
            <a:endParaRPr lang="en-IN">
              <a:solidFill>
                <a:sysClr val="windowText" lastClr="000000">
                  <a:lumMod val="65000"/>
                  <a:lumOff val="35000"/>
                </a:sysClr>
              </a:solidFill>
            </a:endParaRPr>
          </a:p>
        </c:rich>
      </c:tx>
      <c:layout>
        <c:manualLayout>
          <c:xMode val="edge"/>
          <c:yMode val="edge"/>
          <c:x val="0.16608200691275071"/>
          <c:y val="5.38238202978967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6"/>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w="19050">
            <a:noFill/>
          </a:ln>
          <a:effectLst>
            <a:outerShdw blurRad="63500" sx="102000" sy="102000" algn="ctr" rotWithShape="0">
              <a:prstClr val="black">
                <a:alpha val="40000"/>
              </a:prstClr>
            </a:outerShdw>
          </a:effectLst>
        </c:spPr>
        <c:dLbl>
          <c:idx val="0"/>
          <c:layout>
            <c:manualLayout>
              <c:x val="0.1306584362139917"/>
              <c:y val="-0.1196082687927429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BBD50963-2EC8-4D54-8DEC-C96C05682C40}" type="VALUE">
                  <a:rPr lang="en-US" sz="1050"/>
                  <a:pPr>
                    <a:defRPr sz="105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6"/>
          </a:solidFill>
          <a:ln w="19050">
            <a:noFill/>
          </a:ln>
          <a:effectLst>
            <a:outerShdw blurRad="63500" sx="102000" sy="102000" algn="ctr" rotWithShape="0">
              <a:prstClr val="black">
                <a:alpha val="40000"/>
              </a:prstClr>
            </a:outerShdw>
          </a:effectLst>
        </c:spPr>
        <c:dLbl>
          <c:idx val="0"/>
          <c:layout>
            <c:manualLayout>
              <c:x val="-0.13501371742112483"/>
              <c:y val="0.12558868223238004"/>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EFFF0A82-ABBD-4CAB-BE52-F6A2CCFD21EF}" type="VALUE">
                  <a:rPr lang="en-US" sz="1050"/>
                  <a:pPr>
                    <a:defRPr sz="105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solidFill>
          <a:ln w="19050">
            <a:noFill/>
          </a:ln>
          <a:effectLst>
            <a:outerShdw blurRad="63500" sx="102000" sy="102000" algn="ctr" rotWithShape="0">
              <a:prstClr val="black">
                <a:alpha val="40000"/>
              </a:prstClr>
            </a:outerShdw>
          </a:effectLst>
        </c:spPr>
        <c:dLbl>
          <c:idx val="0"/>
          <c:layout>
            <c:manualLayout>
              <c:x val="0.16296893669925222"/>
              <c:y val="0.1736946912337520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noFill/>
          </a:ln>
          <a:effectLst>
            <a:outerShdw blurRad="63500" sx="102000" sy="102000" algn="ctr" rotWithShape="0">
              <a:prstClr val="black">
                <a:alpha val="40000"/>
              </a:prstClr>
            </a:outerShdw>
          </a:effectLst>
        </c:spPr>
        <c:dLbl>
          <c:idx val="0"/>
          <c:layout>
            <c:manualLayout>
              <c:x val="-0.13162875656478065"/>
              <c:y val="-0.1538438693784661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noFill/>
          </a:ln>
          <a:effectLst>
            <a:outerShdw blurRad="63500" sx="102000" sy="102000" algn="ctr" rotWithShape="0">
              <a:prstClr val="black">
                <a:alpha val="40000"/>
              </a:prstClr>
            </a:outerShdw>
          </a:effectLst>
        </c:spPr>
        <c:dLbl>
          <c:idx val="0"/>
          <c:layout>
            <c:manualLayout>
              <c:x val="0.16296893669925222"/>
              <c:y val="0.1736946912337520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noFill/>
          </a:ln>
          <a:effectLst>
            <a:outerShdw blurRad="63500" sx="102000" sy="102000" algn="ctr" rotWithShape="0">
              <a:prstClr val="black">
                <a:alpha val="40000"/>
              </a:prstClr>
            </a:outerShdw>
          </a:effectLst>
        </c:spPr>
        <c:dLbl>
          <c:idx val="0"/>
          <c:layout>
            <c:manualLayout>
              <c:x val="-0.13162875656478065"/>
              <c:y val="-0.1538438693784661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lumMod val="75000"/>
                      <a:lumOff val="25000"/>
                      <a:alpha val="98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noFill/>
          </a:ln>
          <a:effectLst>
            <a:outerShdw blurRad="63500" sx="102000" sy="102000" algn="ctr" rotWithShape="0">
              <a:prstClr val="black">
                <a:alpha val="40000"/>
              </a:prstClr>
            </a:outerShdw>
          </a:effectLst>
        </c:spPr>
        <c:dLbl>
          <c:idx val="0"/>
          <c:layout>
            <c:manualLayout>
              <c:x val="0.18144797010365876"/>
              <c:y val="0.1933025343710069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264392324093815E-2"/>
                  <c:h val="0.10814814814814815"/>
                </c:manualLayout>
              </c15:layout>
            </c:ext>
          </c:extLst>
        </c:dLbl>
      </c:pivotFmt>
      <c:pivotFmt>
        <c:idx val="10"/>
        <c:spPr>
          <a:solidFill>
            <a:schemeClr val="accent6"/>
          </a:solidFill>
          <a:ln w="19050">
            <a:noFill/>
          </a:ln>
          <a:effectLst>
            <a:outerShdw blurRad="63500" sx="102000" sy="102000" algn="ctr" rotWithShape="0">
              <a:prstClr val="black">
                <a:alpha val="40000"/>
              </a:prstClr>
            </a:outerShdw>
          </a:effectLst>
        </c:spPr>
        <c:dLbl>
          <c:idx val="0"/>
          <c:layout>
            <c:manualLayout>
              <c:x val="-0.13162875656478065"/>
              <c:y val="-0.1538438693784661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lumMod val="75000"/>
                      <a:lumOff val="25000"/>
                      <a:alpha val="98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46433748020303"/>
          <c:y val="0.1717101538778241"/>
          <c:w val="0.42853113510064966"/>
          <c:h val="0.65680098811178012"/>
        </c:manualLayout>
      </c:layout>
      <c:doughnutChart>
        <c:varyColors val="1"/>
        <c:ser>
          <c:idx val="0"/>
          <c:order val="0"/>
          <c:tx>
            <c:strRef>
              <c:f>'Pivot Tables - Workforce'!$G$1</c:f>
              <c:strCache>
                <c:ptCount val="1"/>
                <c:pt idx="0">
                  <c:v>Total</c:v>
                </c:pt>
              </c:strCache>
            </c:strRef>
          </c:tx>
          <c:spPr>
            <a:ln>
              <a:noFill/>
            </a:ln>
            <a:effectLst>
              <a:outerShdw blurRad="63500" sx="102000" sy="102000" algn="ctr" rotWithShape="0">
                <a:prstClr val="black">
                  <a:alpha val="40000"/>
                </a:prstClr>
              </a:outerShdw>
            </a:effectLst>
          </c:spPr>
          <c:dPt>
            <c:idx val="0"/>
            <c:bubble3D val="0"/>
            <c:spPr>
              <a:solidFill>
                <a:schemeClr val="accent6"/>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52FD-4E8B-B849-3092A33164D6}"/>
              </c:ext>
            </c:extLst>
          </c:dPt>
          <c:dPt>
            <c:idx val="1"/>
            <c:bubble3D val="0"/>
            <c:spPr>
              <a:solidFill>
                <a:schemeClr val="accent5"/>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52FD-4E8B-B849-3092A33164D6}"/>
              </c:ext>
            </c:extLst>
          </c:dPt>
          <c:dLbls>
            <c:dLbl>
              <c:idx val="0"/>
              <c:layout>
                <c:manualLayout>
                  <c:x val="0.18144797010365876"/>
                  <c:y val="0.1933025343710069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264392324093815E-2"/>
                      <c:h val="0.10814814814814815"/>
                    </c:manualLayout>
                  </c15:layout>
                </c:ext>
                <c:ext xmlns:c16="http://schemas.microsoft.com/office/drawing/2014/chart" uri="{C3380CC4-5D6E-409C-BE32-E72D297353CC}">
                  <c16:uniqueId val="{00000001-52FD-4E8B-B849-3092A33164D6}"/>
                </c:ext>
              </c:extLst>
            </c:dLbl>
            <c:dLbl>
              <c:idx val="1"/>
              <c:layout>
                <c:manualLayout>
                  <c:x val="-0.13162875656478065"/>
                  <c:y val="-0.1538438693784661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lumMod val="75000"/>
                          <a:lumOff val="25000"/>
                          <a:alpha val="98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FD-4E8B-B849-3092A33164D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lumMod val="75000"/>
                        <a:lumOff val="25000"/>
                        <a:alpha val="98000"/>
                      </a:sys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 Workforce'!$F$2:$F$3</c:f>
              <c:strCache>
                <c:ptCount val="2"/>
                <c:pt idx="0">
                  <c:v>PG</c:v>
                </c:pt>
                <c:pt idx="1">
                  <c:v>UG</c:v>
                </c:pt>
              </c:strCache>
            </c:strRef>
          </c:cat>
          <c:val>
            <c:numRef>
              <c:f>'Pivot Tables - Workforce'!$G$2:$G$3</c:f>
              <c:numCache>
                <c:formatCode>General</c:formatCode>
                <c:ptCount val="2"/>
                <c:pt idx="0">
                  <c:v>27</c:v>
                </c:pt>
                <c:pt idx="1">
                  <c:v>23</c:v>
                </c:pt>
              </c:numCache>
            </c:numRef>
          </c:val>
          <c:extLst>
            <c:ext xmlns:c16="http://schemas.microsoft.com/office/drawing/2014/chart" uri="{C3380CC4-5D6E-409C-BE32-E72D297353CC}">
              <c16:uniqueId val="{00000004-52FD-4E8B-B849-3092A33164D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[Payroll Excel Project - With Formula - Final.xlsx]Pivot Tables - Workforce!HC_By Vehicle</c:name>
    <c:fmtId val="5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effectLst/>
              </a:rPr>
              <a:t>Headcount Summary by Department</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rgbClr val="17BEC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272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564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26E2A"/>
          </a:solidFill>
          <a:ln>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A78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A78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26E2A"/>
          </a:solidFill>
          <a:ln>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1A78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26E2A"/>
          </a:solidFill>
          <a:ln>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 - Workforce'!$K$1:$K$2</c:f>
              <c:strCache>
                <c:ptCount val="1"/>
                <c:pt idx="0">
                  <c:v>Female</c:v>
                </c:pt>
              </c:strCache>
            </c:strRef>
          </c:tx>
          <c:spPr>
            <a:solidFill>
              <a:srgbClr val="F1A78A"/>
            </a:solidFill>
            <a:ln>
              <a:noFill/>
            </a:ln>
            <a:effectLst/>
            <a:sp3d/>
          </c:spPr>
          <c:invertIfNegative val="0"/>
          <c:cat>
            <c:strRef>
              <c:f>'Pivot Tables - Workforce'!$J$3:$J$7</c:f>
              <c:strCache>
                <c:ptCount val="5"/>
                <c:pt idx="0">
                  <c:v>Analytics</c:v>
                </c:pt>
                <c:pt idx="1">
                  <c:v>Finance</c:v>
                </c:pt>
                <c:pt idx="2">
                  <c:v>HR</c:v>
                </c:pt>
                <c:pt idx="3">
                  <c:v>Payroll</c:v>
                </c:pt>
                <c:pt idx="4">
                  <c:v>Sales</c:v>
                </c:pt>
              </c:strCache>
            </c:strRef>
          </c:cat>
          <c:val>
            <c:numRef>
              <c:f>'Pivot Tables - Workforce'!$K$3:$K$7</c:f>
              <c:numCache>
                <c:formatCode>General</c:formatCode>
                <c:ptCount val="5"/>
                <c:pt idx="0">
                  <c:v>5</c:v>
                </c:pt>
                <c:pt idx="1">
                  <c:v>1</c:v>
                </c:pt>
                <c:pt idx="2">
                  <c:v>3</c:v>
                </c:pt>
                <c:pt idx="3">
                  <c:v>1</c:v>
                </c:pt>
                <c:pt idx="4">
                  <c:v>2</c:v>
                </c:pt>
              </c:numCache>
            </c:numRef>
          </c:val>
          <c:extLst>
            <c:ext xmlns:c16="http://schemas.microsoft.com/office/drawing/2014/chart" uri="{C3380CC4-5D6E-409C-BE32-E72D297353CC}">
              <c16:uniqueId val="{00000000-1958-454C-875C-4BD40223C272}"/>
            </c:ext>
          </c:extLst>
        </c:ser>
        <c:ser>
          <c:idx val="1"/>
          <c:order val="1"/>
          <c:tx>
            <c:strRef>
              <c:f>'Pivot Tables - Workforce'!$L$1:$L$2</c:f>
              <c:strCache>
                <c:ptCount val="1"/>
                <c:pt idx="0">
                  <c:v>Male</c:v>
                </c:pt>
              </c:strCache>
            </c:strRef>
          </c:tx>
          <c:spPr>
            <a:solidFill>
              <a:srgbClr val="D26E2A"/>
            </a:solidFill>
            <a:ln>
              <a:noFill/>
            </a:ln>
            <a:effectLst>
              <a:innerShdw blurRad="63500" dist="50800" dir="10800000">
                <a:prstClr val="black">
                  <a:alpha val="50000"/>
                </a:prstClr>
              </a:innerShdw>
            </a:effectLst>
            <a:sp3d/>
          </c:spPr>
          <c:invertIfNegative val="0"/>
          <c:cat>
            <c:strRef>
              <c:f>'Pivot Tables - Workforce'!$J$3:$J$7</c:f>
              <c:strCache>
                <c:ptCount val="5"/>
                <c:pt idx="0">
                  <c:v>Analytics</c:v>
                </c:pt>
                <c:pt idx="1">
                  <c:v>Finance</c:v>
                </c:pt>
                <c:pt idx="2">
                  <c:v>HR</c:v>
                </c:pt>
                <c:pt idx="3">
                  <c:v>Payroll</c:v>
                </c:pt>
                <c:pt idx="4">
                  <c:v>Sales</c:v>
                </c:pt>
              </c:strCache>
            </c:strRef>
          </c:cat>
          <c:val>
            <c:numRef>
              <c:f>'Pivot Tables - Workforce'!$L$3:$L$7</c:f>
              <c:numCache>
                <c:formatCode>General</c:formatCode>
                <c:ptCount val="5"/>
                <c:pt idx="0">
                  <c:v>5</c:v>
                </c:pt>
                <c:pt idx="1">
                  <c:v>9</c:v>
                </c:pt>
                <c:pt idx="2">
                  <c:v>7</c:v>
                </c:pt>
                <c:pt idx="3">
                  <c:v>9</c:v>
                </c:pt>
                <c:pt idx="4">
                  <c:v>8</c:v>
                </c:pt>
              </c:numCache>
            </c:numRef>
          </c:val>
          <c:extLst>
            <c:ext xmlns:c16="http://schemas.microsoft.com/office/drawing/2014/chart" uri="{C3380CC4-5D6E-409C-BE32-E72D297353CC}">
              <c16:uniqueId val="{00000001-1958-454C-875C-4BD40223C272}"/>
            </c:ext>
          </c:extLst>
        </c:ser>
        <c:dLbls>
          <c:showLegendKey val="0"/>
          <c:showVal val="0"/>
          <c:showCatName val="0"/>
          <c:showSerName val="0"/>
          <c:showPercent val="0"/>
          <c:showBubbleSize val="0"/>
        </c:dLbls>
        <c:gapWidth val="114"/>
        <c:shape val="box"/>
        <c:axId val="1802097136"/>
        <c:axId val="1802090416"/>
        <c:axId val="0"/>
      </c:bar3DChart>
      <c:catAx>
        <c:axId val="1802097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2090416"/>
        <c:crosses val="autoZero"/>
        <c:auto val="1"/>
        <c:lblAlgn val="ctr"/>
        <c:lblOffset val="100"/>
        <c:noMultiLvlLbl val="0"/>
      </c:catAx>
      <c:valAx>
        <c:axId val="18020904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209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Payroll!NS_By Dept</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Department-wise Payroll 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7928093495354"/>
          <c:y val="0.13199369881066533"/>
          <c:w val="0.84361032335746766"/>
          <c:h val="0.70443380768055497"/>
        </c:manualLayout>
      </c:layout>
      <c:barChart>
        <c:barDir val="col"/>
        <c:grouping val="clustered"/>
        <c:varyColors val="0"/>
        <c:ser>
          <c:idx val="0"/>
          <c:order val="0"/>
          <c:tx>
            <c:strRef>
              <c:f>'Pivot Tables - Payroll'!$B$1:$B$2</c:f>
              <c:strCache>
                <c:ptCount val="1"/>
                <c:pt idx="0">
                  <c:v>January-2026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Payroll'!$A$3:$A$7</c:f>
              <c:strCache>
                <c:ptCount val="5"/>
                <c:pt idx="0">
                  <c:v>Analytics</c:v>
                </c:pt>
                <c:pt idx="1">
                  <c:v>Finance</c:v>
                </c:pt>
                <c:pt idx="2">
                  <c:v>HR</c:v>
                </c:pt>
                <c:pt idx="3">
                  <c:v>Payroll</c:v>
                </c:pt>
                <c:pt idx="4">
                  <c:v>Sales</c:v>
                </c:pt>
              </c:strCache>
            </c:strRef>
          </c:cat>
          <c:val>
            <c:numRef>
              <c:f>'Pivot Tables - Payroll'!$B$3:$B$7</c:f>
              <c:numCache>
                <c:formatCode>"Rs. "#\.##,"L"</c:formatCode>
                <c:ptCount val="5"/>
                <c:pt idx="0">
                  <c:v>648450</c:v>
                </c:pt>
                <c:pt idx="1">
                  <c:v>356710</c:v>
                </c:pt>
                <c:pt idx="2">
                  <c:v>449737</c:v>
                </c:pt>
                <c:pt idx="3">
                  <c:v>285671</c:v>
                </c:pt>
                <c:pt idx="4">
                  <c:v>521103</c:v>
                </c:pt>
              </c:numCache>
            </c:numRef>
          </c:val>
          <c:extLst>
            <c:ext xmlns:c16="http://schemas.microsoft.com/office/drawing/2014/chart" uri="{C3380CC4-5D6E-409C-BE32-E72D297353CC}">
              <c16:uniqueId val="{00000000-4A61-42FE-A2E7-6B689F886E28}"/>
            </c:ext>
          </c:extLst>
        </c:ser>
        <c:ser>
          <c:idx val="1"/>
          <c:order val="1"/>
          <c:tx>
            <c:strRef>
              <c:f>'Pivot Tables - Payroll'!$C$1:$C$2</c:f>
              <c:strCache>
                <c:ptCount val="1"/>
                <c:pt idx="0">
                  <c:v>February-2026</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Payroll'!$A$3:$A$7</c:f>
              <c:strCache>
                <c:ptCount val="5"/>
                <c:pt idx="0">
                  <c:v>Analytics</c:v>
                </c:pt>
                <c:pt idx="1">
                  <c:v>Finance</c:v>
                </c:pt>
                <c:pt idx="2">
                  <c:v>HR</c:v>
                </c:pt>
                <c:pt idx="3">
                  <c:v>Payroll</c:v>
                </c:pt>
                <c:pt idx="4">
                  <c:v>Sales</c:v>
                </c:pt>
              </c:strCache>
            </c:strRef>
          </c:cat>
          <c:val>
            <c:numRef>
              <c:f>'Pivot Tables - Payroll'!$C$3:$C$7</c:f>
              <c:numCache>
                <c:formatCode>"Rs. "#\.##,"L"</c:formatCode>
                <c:ptCount val="5"/>
                <c:pt idx="0">
                  <c:v>667220</c:v>
                </c:pt>
                <c:pt idx="1">
                  <c:v>350746</c:v>
                </c:pt>
                <c:pt idx="2">
                  <c:v>490045</c:v>
                </c:pt>
                <c:pt idx="3">
                  <c:v>270238</c:v>
                </c:pt>
                <c:pt idx="4">
                  <c:v>477895</c:v>
                </c:pt>
              </c:numCache>
            </c:numRef>
          </c:val>
          <c:extLst>
            <c:ext xmlns:c16="http://schemas.microsoft.com/office/drawing/2014/chart" uri="{C3380CC4-5D6E-409C-BE32-E72D297353CC}">
              <c16:uniqueId val="{00000005-C545-4A86-995A-18C35DAC1522}"/>
            </c:ext>
          </c:extLst>
        </c:ser>
        <c:ser>
          <c:idx val="2"/>
          <c:order val="2"/>
          <c:tx>
            <c:strRef>
              <c:f>'Pivot Tables - Payroll'!$D$1:$D$2</c:f>
              <c:strCache>
                <c:ptCount val="1"/>
                <c:pt idx="0">
                  <c:v>March-2026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Payroll'!$A$3:$A$7</c:f>
              <c:strCache>
                <c:ptCount val="5"/>
                <c:pt idx="0">
                  <c:v>Analytics</c:v>
                </c:pt>
                <c:pt idx="1">
                  <c:v>Finance</c:v>
                </c:pt>
                <c:pt idx="2">
                  <c:v>HR</c:v>
                </c:pt>
                <c:pt idx="3">
                  <c:v>Payroll</c:v>
                </c:pt>
                <c:pt idx="4">
                  <c:v>Sales</c:v>
                </c:pt>
              </c:strCache>
            </c:strRef>
          </c:cat>
          <c:val>
            <c:numRef>
              <c:f>'Pivot Tables - Payroll'!$D$3:$D$7</c:f>
              <c:numCache>
                <c:formatCode>"Rs. "#\.##,"L"</c:formatCode>
                <c:ptCount val="5"/>
                <c:pt idx="0">
                  <c:v>636131</c:v>
                </c:pt>
                <c:pt idx="1">
                  <c:v>322527</c:v>
                </c:pt>
                <c:pt idx="2">
                  <c:v>483688</c:v>
                </c:pt>
                <c:pt idx="3">
                  <c:v>273409</c:v>
                </c:pt>
                <c:pt idx="4">
                  <c:v>576717</c:v>
                </c:pt>
              </c:numCache>
            </c:numRef>
          </c:val>
          <c:extLst>
            <c:ext xmlns:c16="http://schemas.microsoft.com/office/drawing/2014/chart" uri="{C3380CC4-5D6E-409C-BE32-E72D297353CC}">
              <c16:uniqueId val="{00000006-C545-4A86-995A-18C35DAC1522}"/>
            </c:ext>
          </c:extLst>
        </c:ser>
        <c:dLbls>
          <c:showLegendKey val="0"/>
          <c:showVal val="0"/>
          <c:showCatName val="0"/>
          <c:showSerName val="0"/>
          <c:showPercent val="0"/>
          <c:showBubbleSize val="0"/>
        </c:dLbls>
        <c:gapWidth val="100"/>
        <c:overlap val="-24"/>
        <c:axId val="1074846735"/>
        <c:axId val="1074844335"/>
      </c:barChart>
      <c:catAx>
        <c:axId val="1074846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074844335"/>
        <c:crosses val="autoZero"/>
        <c:auto val="1"/>
        <c:lblAlgn val="ctr"/>
        <c:lblOffset val="100"/>
        <c:noMultiLvlLbl val="0"/>
      </c:catAx>
      <c:valAx>
        <c:axId val="1074844335"/>
        <c:scaling>
          <c:orientation val="minMax"/>
        </c:scaling>
        <c:delete val="0"/>
        <c:axPos val="l"/>
        <c:numFmt formatCode="&quot;Rs. &quot;#\.##,&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074846735"/>
        <c:crosses val="autoZero"/>
        <c:crossBetween val="between"/>
      </c:valAx>
      <c:spPr>
        <a:noFill/>
        <a:ln>
          <a:noFill/>
        </a:ln>
        <a:effectLst/>
      </c:spPr>
    </c:plotArea>
    <c:legend>
      <c:legendPos val="b"/>
      <c:layout>
        <c:manualLayout>
          <c:xMode val="edge"/>
          <c:yMode val="edge"/>
          <c:x val="0.17961680290018817"/>
          <c:y val="0.89276669138589515"/>
          <c:w val="0.65154529908248648"/>
          <c:h val="7.5377398738680504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Payroll!NS_By Location</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Payroll Expenses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958880139981"/>
          <c:y val="0.10720266121461881"/>
          <c:w val="0.72667563429571314"/>
          <c:h val="0.72273199369867824"/>
        </c:manualLayout>
      </c:layout>
      <c:barChart>
        <c:barDir val="bar"/>
        <c:grouping val="clustered"/>
        <c:varyColors val="0"/>
        <c:ser>
          <c:idx val="0"/>
          <c:order val="0"/>
          <c:tx>
            <c:strRef>
              <c:f>'Pivot Tables - Payroll'!$G$1:$G$2</c:f>
              <c:strCache>
                <c:ptCount val="1"/>
                <c:pt idx="0">
                  <c:v>January-2026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Payroll'!$F$3:$F$7</c:f>
              <c:strCache>
                <c:ptCount val="5"/>
                <c:pt idx="0">
                  <c:v>Bangalore</c:v>
                </c:pt>
                <c:pt idx="1">
                  <c:v>Chennai</c:v>
                </c:pt>
                <c:pt idx="2">
                  <c:v>Hyderabad</c:v>
                </c:pt>
                <c:pt idx="3">
                  <c:v>Kolkata</c:v>
                </c:pt>
                <c:pt idx="4">
                  <c:v>Mumbai</c:v>
                </c:pt>
              </c:strCache>
            </c:strRef>
          </c:cat>
          <c:val>
            <c:numRef>
              <c:f>'Pivot Tables - Payroll'!$G$3:$G$7</c:f>
              <c:numCache>
                <c:formatCode>"Rs. "#\.##,"L"</c:formatCode>
                <c:ptCount val="5"/>
                <c:pt idx="0">
                  <c:v>539154</c:v>
                </c:pt>
                <c:pt idx="1">
                  <c:v>563439</c:v>
                </c:pt>
                <c:pt idx="2">
                  <c:v>334358</c:v>
                </c:pt>
                <c:pt idx="3">
                  <c:v>400618</c:v>
                </c:pt>
                <c:pt idx="4">
                  <c:v>424102</c:v>
                </c:pt>
              </c:numCache>
            </c:numRef>
          </c:val>
          <c:extLst>
            <c:ext xmlns:c16="http://schemas.microsoft.com/office/drawing/2014/chart" uri="{C3380CC4-5D6E-409C-BE32-E72D297353CC}">
              <c16:uniqueId val="{00000000-D8C1-4FA9-8786-2122B320A245}"/>
            </c:ext>
          </c:extLst>
        </c:ser>
        <c:ser>
          <c:idx val="1"/>
          <c:order val="1"/>
          <c:tx>
            <c:strRef>
              <c:f>'Pivot Tables - Payroll'!$H$1:$H$2</c:f>
              <c:strCache>
                <c:ptCount val="1"/>
                <c:pt idx="0">
                  <c:v>February-2026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Payroll'!$F$3:$F$7</c:f>
              <c:strCache>
                <c:ptCount val="5"/>
                <c:pt idx="0">
                  <c:v>Bangalore</c:v>
                </c:pt>
                <c:pt idx="1">
                  <c:v>Chennai</c:v>
                </c:pt>
                <c:pt idx="2">
                  <c:v>Hyderabad</c:v>
                </c:pt>
                <c:pt idx="3">
                  <c:v>Kolkata</c:v>
                </c:pt>
                <c:pt idx="4">
                  <c:v>Mumbai</c:v>
                </c:pt>
              </c:strCache>
            </c:strRef>
          </c:cat>
          <c:val>
            <c:numRef>
              <c:f>'Pivot Tables - Payroll'!$H$3:$H$7</c:f>
              <c:numCache>
                <c:formatCode>"Rs. "#\.##,"L"</c:formatCode>
                <c:ptCount val="5"/>
                <c:pt idx="0">
                  <c:v>577553</c:v>
                </c:pt>
                <c:pt idx="1">
                  <c:v>485221</c:v>
                </c:pt>
                <c:pt idx="2">
                  <c:v>393683</c:v>
                </c:pt>
                <c:pt idx="3">
                  <c:v>381034</c:v>
                </c:pt>
                <c:pt idx="4">
                  <c:v>418653</c:v>
                </c:pt>
              </c:numCache>
            </c:numRef>
          </c:val>
          <c:extLst>
            <c:ext xmlns:c16="http://schemas.microsoft.com/office/drawing/2014/chart" uri="{C3380CC4-5D6E-409C-BE32-E72D297353CC}">
              <c16:uniqueId val="{00000002-DAAA-4D77-8FD0-D42F7203D21E}"/>
            </c:ext>
          </c:extLst>
        </c:ser>
        <c:ser>
          <c:idx val="2"/>
          <c:order val="2"/>
          <c:tx>
            <c:strRef>
              <c:f>'Pivot Tables - Payroll'!$I$1:$I$2</c:f>
              <c:strCache>
                <c:ptCount val="1"/>
                <c:pt idx="0">
                  <c:v>March-2026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Payroll'!$F$3:$F$7</c:f>
              <c:strCache>
                <c:ptCount val="5"/>
                <c:pt idx="0">
                  <c:v>Bangalore</c:v>
                </c:pt>
                <c:pt idx="1">
                  <c:v>Chennai</c:v>
                </c:pt>
                <c:pt idx="2">
                  <c:v>Hyderabad</c:v>
                </c:pt>
                <c:pt idx="3">
                  <c:v>Kolkata</c:v>
                </c:pt>
                <c:pt idx="4">
                  <c:v>Mumbai</c:v>
                </c:pt>
              </c:strCache>
            </c:strRef>
          </c:cat>
          <c:val>
            <c:numRef>
              <c:f>'Pivot Tables - Payroll'!$I$3:$I$7</c:f>
              <c:numCache>
                <c:formatCode>"Rs. "#\.##,"L"</c:formatCode>
                <c:ptCount val="5"/>
                <c:pt idx="0">
                  <c:v>574229</c:v>
                </c:pt>
                <c:pt idx="1">
                  <c:v>530713</c:v>
                </c:pt>
                <c:pt idx="2">
                  <c:v>451070</c:v>
                </c:pt>
                <c:pt idx="3">
                  <c:v>344279</c:v>
                </c:pt>
                <c:pt idx="4">
                  <c:v>392181</c:v>
                </c:pt>
              </c:numCache>
            </c:numRef>
          </c:val>
          <c:extLst>
            <c:ext xmlns:c16="http://schemas.microsoft.com/office/drawing/2014/chart" uri="{C3380CC4-5D6E-409C-BE32-E72D297353CC}">
              <c16:uniqueId val="{00000003-DAAA-4D77-8FD0-D42F7203D21E}"/>
            </c:ext>
          </c:extLst>
        </c:ser>
        <c:dLbls>
          <c:showLegendKey val="0"/>
          <c:showVal val="0"/>
          <c:showCatName val="0"/>
          <c:showSerName val="0"/>
          <c:showPercent val="0"/>
          <c:showBubbleSize val="0"/>
        </c:dLbls>
        <c:gapWidth val="115"/>
        <c:overlap val="-20"/>
        <c:axId val="210594799"/>
        <c:axId val="210593359"/>
      </c:barChart>
      <c:catAx>
        <c:axId val="2105947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10593359"/>
        <c:crosses val="autoZero"/>
        <c:auto val="1"/>
        <c:lblAlgn val="ctr"/>
        <c:lblOffset val="100"/>
        <c:noMultiLvlLbl val="0"/>
      </c:catAx>
      <c:valAx>
        <c:axId val="210593359"/>
        <c:scaling>
          <c:orientation val="minMax"/>
        </c:scaling>
        <c:delete val="0"/>
        <c:axPos val="b"/>
        <c:numFmt formatCode="&quot;Rs. &quot;#\.##,&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10594799"/>
        <c:crosses val="autoZero"/>
        <c:crossBetween val="between"/>
      </c:valAx>
      <c:spPr>
        <a:noFill/>
        <a:ln>
          <a:noFill/>
        </a:ln>
        <a:effectLst/>
      </c:spPr>
    </c:plotArea>
    <c:legend>
      <c:legendPos val="b"/>
      <c:layout>
        <c:manualLayout>
          <c:xMode val="edge"/>
          <c:yMode val="edge"/>
          <c:x val="0.20137489063867017"/>
          <c:y val="0.92015582371071036"/>
          <c:w val="0.59724999999999995"/>
          <c:h val="7.5377398738680504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Payroll!GS &amp; NS by Month</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Gross vs Net Salary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A0DA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ED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 Payroll'!$L$1</c:f>
              <c:strCache>
                <c:ptCount val="1"/>
                <c:pt idx="0">
                  <c:v>Sum of Gross Salary</c:v>
                </c:pt>
              </c:strCache>
            </c:strRef>
          </c:tx>
          <c:spPr>
            <a:solidFill>
              <a:srgbClr val="6A0DAD"/>
            </a:solidFill>
            <a:ln>
              <a:noFill/>
            </a:ln>
            <a:effectLst>
              <a:outerShdw blurRad="57150" dist="19050" dir="5400000" algn="ctr" rotWithShape="0">
                <a:srgbClr val="000000">
                  <a:alpha val="63000"/>
                </a:srgbClr>
              </a:outerShdw>
            </a:effectLst>
          </c:spPr>
          <c:invertIfNegative val="0"/>
          <c:cat>
            <c:strRef>
              <c:f>'Pivot Tables - Payroll'!$K$2:$K$4</c:f>
              <c:strCache>
                <c:ptCount val="3"/>
                <c:pt idx="0">
                  <c:v>January-2026</c:v>
                </c:pt>
                <c:pt idx="1">
                  <c:v>February-2026</c:v>
                </c:pt>
                <c:pt idx="2">
                  <c:v>March-2026</c:v>
                </c:pt>
              </c:strCache>
            </c:strRef>
          </c:cat>
          <c:val>
            <c:numRef>
              <c:f>'Pivot Tables - Payroll'!$L$2:$L$4</c:f>
              <c:numCache>
                <c:formatCode>"Rs. "#\.##,"L"</c:formatCode>
                <c:ptCount val="3"/>
                <c:pt idx="0">
                  <c:v>3229498</c:v>
                </c:pt>
                <c:pt idx="1">
                  <c:v>3187501</c:v>
                </c:pt>
                <c:pt idx="2">
                  <c:v>3219625</c:v>
                </c:pt>
              </c:numCache>
            </c:numRef>
          </c:val>
          <c:extLst>
            <c:ext xmlns:c16="http://schemas.microsoft.com/office/drawing/2014/chart" uri="{C3380CC4-5D6E-409C-BE32-E72D297353CC}">
              <c16:uniqueId val="{00000000-161A-4B8B-B351-E2D58A60F196}"/>
            </c:ext>
          </c:extLst>
        </c:ser>
        <c:ser>
          <c:idx val="1"/>
          <c:order val="1"/>
          <c:tx>
            <c:strRef>
              <c:f>'Pivot Tables - Payroll'!$M$1</c:f>
              <c:strCache>
                <c:ptCount val="1"/>
                <c:pt idx="0">
                  <c:v>Sum of Net Salary</c:v>
                </c:pt>
              </c:strCache>
            </c:strRef>
          </c:tx>
          <c:spPr>
            <a:solidFill>
              <a:srgbClr val="00CED1"/>
            </a:solidFill>
            <a:ln>
              <a:noFill/>
            </a:ln>
            <a:effectLst>
              <a:outerShdw blurRad="57150" dist="19050" dir="5400000" algn="ctr" rotWithShape="0">
                <a:srgbClr val="000000">
                  <a:alpha val="63000"/>
                </a:srgbClr>
              </a:outerShdw>
            </a:effectLst>
          </c:spPr>
          <c:invertIfNegative val="0"/>
          <c:cat>
            <c:strRef>
              <c:f>'Pivot Tables - Payroll'!$K$2:$K$4</c:f>
              <c:strCache>
                <c:ptCount val="3"/>
                <c:pt idx="0">
                  <c:v>January-2026</c:v>
                </c:pt>
                <c:pt idx="1">
                  <c:v>February-2026</c:v>
                </c:pt>
                <c:pt idx="2">
                  <c:v>March-2026</c:v>
                </c:pt>
              </c:strCache>
            </c:strRef>
          </c:cat>
          <c:val>
            <c:numRef>
              <c:f>'Pivot Tables - Payroll'!$M$2:$M$4</c:f>
              <c:numCache>
                <c:formatCode>"Rs. "#\.##,"L"</c:formatCode>
                <c:ptCount val="3"/>
                <c:pt idx="0">
                  <c:v>2261671</c:v>
                </c:pt>
                <c:pt idx="1">
                  <c:v>2256144</c:v>
                </c:pt>
                <c:pt idx="2">
                  <c:v>2292472</c:v>
                </c:pt>
              </c:numCache>
            </c:numRef>
          </c:val>
          <c:extLst>
            <c:ext xmlns:c16="http://schemas.microsoft.com/office/drawing/2014/chart" uri="{C3380CC4-5D6E-409C-BE32-E72D297353CC}">
              <c16:uniqueId val="{00000001-161A-4B8B-B351-E2D58A60F196}"/>
            </c:ext>
          </c:extLst>
        </c:ser>
        <c:dLbls>
          <c:showLegendKey val="0"/>
          <c:showVal val="0"/>
          <c:showCatName val="0"/>
          <c:showSerName val="0"/>
          <c:showPercent val="0"/>
          <c:showBubbleSize val="0"/>
        </c:dLbls>
        <c:gapWidth val="100"/>
        <c:overlap val="-24"/>
        <c:axId val="268237471"/>
        <c:axId val="268239391"/>
      </c:barChart>
      <c:catAx>
        <c:axId val="268237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68239391"/>
        <c:crosses val="autoZero"/>
        <c:auto val="1"/>
        <c:lblAlgn val="ctr"/>
        <c:lblOffset val="100"/>
        <c:noMultiLvlLbl val="0"/>
      </c:catAx>
      <c:valAx>
        <c:axId val="268239391"/>
        <c:scaling>
          <c:orientation val="minMax"/>
        </c:scaling>
        <c:delete val="0"/>
        <c:axPos val="l"/>
        <c:numFmt formatCode="&quot;Rs. &quot;#\.##,&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682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Payroll!OT_By Dept</c:name>
    <c:fmtId val="4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IN" sz="1600" b="1"/>
              <a:t>Overtime Hours by Location</a:t>
            </a:r>
          </a:p>
        </c:rich>
      </c:tx>
      <c:layout>
        <c:manualLayout>
          <c:xMode val="edge"/>
          <c:yMode val="edge"/>
          <c:x val="0.20928138528138529"/>
          <c:y val="5.29801201717056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9000">
                <a:schemeClr val="accent1">
                  <a:lumMod val="45000"/>
                  <a:lumOff val="55000"/>
                </a:schemeClr>
              </a:gs>
              <a:gs pos="38000">
                <a:schemeClr val="accent1">
                  <a:lumMod val="45000"/>
                  <a:lumOff val="55000"/>
                </a:schemeClr>
              </a:gs>
              <a:gs pos="100000">
                <a:schemeClr val="accent1">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802195180147934E-2"/>
          <c:y val="0.15947016171683401"/>
          <c:w val="0.86310256672461394"/>
          <c:h val="0.70396905923900521"/>
        </c:manualLayout>
      </c:layout>
      <c:bar3DChart>
        <c:barDir val="col"/>
        <c:grouping val="clustered"/>
        <c:varyColors val="0"/>
        <c:ser>
          <c:idx val="0"/>
          <c:order val="0"/>
          <c:tx>
            <c:strRef>
              <c:f>'Pivot Tables - Payroll'!$P$1</c:f>
              <c:strCache>
                <c:ptCount val="1"/>
                <c:pt idx="0">
                  <c:v>Total</c:v>
                </c:pt>
              </c:strCache>
            </c:strRef>
          </c:tx>
          <c:spPr>
            <a:gradFill>
              <a:gsLst>
                <a:gs pos="0">
                  <a:schemeClr val="accent1">
                    <a:lumMod val="5000"/>
                    <a:lumOff val="95000"/>
                  </a:schemeClr>
                </a:gs>
                <a:gs pos="19000">
                  <a:schemeClr val="accent1">
                    <a:lumMod val="45000"/>
                    <a:lumOff val="55000"/>
                  </a:schemeClr>
                </a:gs>
                <a:gs pos="38000">
                  <a:schemeClr val="accent1">
                    <a:lumMod val="45000"/>
                    <a:lumOff val="55000"/>
                  </a:schemeClr>
                </a:gs>
                <a:gs pos="100000">
                  <a:schemeClr val="accent1">
                    <a:lumMod val="75000"/>
                  </a:schemeClr>
                </a:gs>
              </a:gsLst>
              <a:lin ang="5400000" scaled="1"/>
            </a:gradFill>
            <a:ln>
              <a:noFill/>
            </a:ln>
            <a:effectLst/>
            <a:sp3d/>
          </c:spPr>
          <c:invertIfNegative val="0"/>
          <c:cat>
            <c:strRef>
              <c:f>'Pivot Tables - Payroll'!$O$2:$O$6</c:f>
              <c:strCache>
                <c:ptCount val="5"/>
                <c:pt idx="0">
                  <c:v>Analytics</c:v>
                </c:pt>
                <c:pt idx="1">
                  <c:v>Finance</c:v>
                </c:pt>
                <c:pt idx="2">
                  <c:v>HR</c:v>
                </c:pt>
                <c:pt idx="3">
                  <c:v>Payroll</c:v>
                </c:pt>
                <c:pt idx="4">
                  <c:v>Sales</c:v>
                </c:pt>
              </c:strCache>
            </c:strRef>
          </c:cat>
          <c:val>
            <c:numRef>
              <c:f>'Pivot Tables - Payroll'!$P$2:$P$6</c:f>
              <c:numCache>
                <c:formatCode>General</c:formatCode>
                <c:ptCount val="5"/>
                <c:pt idx="0">
                  <c:v>216</c:v>
                </c:pt>
                <c:pt idx="1">
                  <c:v>205</c:v>
                </c:pt>
                <c:pt idx="2">
                  <c:v>206</c:v>
                </c:pt>
                <c:pt idx="3">
                  <c:v>147</c:v>
                </c:pt>
                <c:pt idx="4">
                  <c:v>172</c:v>
                </c:pt>
              </c:numCache>
            </c:numRef>
          </c:val>
          <c:extLst>
            <c:ext xmlns:c16="http://schemas.microsoft.com/office/drawing/2014/chart" uri="{C3380CC4-5D6E-409C-BE32-E72D297353CC}">
              <c16:uniqueId val="{00000000-C37B-45C9-996A-1C58F705A87C}"/>
            </c:ext>
          </c:extLst>
        </c:ser>
        <c:dLbls>
          <c:showLegendKey val="0"/>
          <c:showVal val="0"/>
          <c:showCatName val="0"/>
          <c:showSerName val="0"/>
          <c:showPercent val="0"/>
          <c:showBubbleSize val="0"/>
        </c:dLbls>
        <c:gapWidth val="150"/>
        <c:shape val="box"/>
        <c:axId val="266480367"/>
        <c:axId val="266489007"/>
        <c:axId val="0"/>
      </c:bar3DChart>
      <c:catAx>
        <c:axId val="2664803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66489007"/>
        <c:crosses val="autoZero"/>
        <c:auto val="1"/>
        <c:lblAlgn val="ctr"/>
        <c:lblOffset val="100"/>
        <c:noMultiLvlLbl val="0"/>
      </c:catAx>
      <c:valAx>
        <c:axId val="266489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6648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Payroll!LOP_By Location</c:name>
    <c:fmtId val="4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a:t>LOP Analysis by Location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0C878"/>
          </a:solidFill>
          <a:ln w="19050">
            <a:solidFill>
              <a:schemeClr val="lt1"/>
            </a:solidFill>
          </a:ln>
          <a:effectLst>
            <a:outerShdw blurRad="63500" sx="102000" sy="102000" algn="ctr" rotWithShape="0">
              <a:prstClr val="black">
                <a:alpha val="40000"/>
              </a:prstClr>
            </a:outerShdw>
          </a:effectLst>
        </c:spPr>
      </c:pivotFmt>
      <c:pivotFmt>
        <c:idx val="3"/>
        <c:spPr>
          <a:solidFill>
            <a:srgbClr val="FFDB58"/>
          </a:solidFill>
          <a:ln w="19050">
            <a:solidFill>
              <a:schemeClr val="lt1"/>
            </a:solidFill>
          </a:ln>
          <a:effectLst>
            <a:outerShdw blurRad="63500" sx="102000" sy="102000" algn="ctr" rotWithShape="0">
              <a:prstClr val="black">
                <a:alpha val="40000"/>
              </a:prstClr>
            </a:outerShdw>
          </a:effectLst>
        </c:spPr>
      </c:pivotFmt>
      <c:pivotFmt>
        <c:idx val="4"/>
        <c:spPr>
          <a:solidFill>
            <a:srgbClr val="87CEEB"/>
          </a:solidFill>
          <a:ln w="19050">
            <a:solidFill>
              <a:schemeClr val="lt1"/>
            </a:solidFill>
          </a:ln>
          <a:effectLst>
            <a:outerShdw blurRad="63500" sx="102000" sy="102000" algn="ctr" rotWithShape="0">
              <a:prstClr val="black">
                <a:alpha val="40000"/>
              </a:prstClr>
            </a:outerShdw>
          </a:effectLst>
        </c:spPr>
      </c:pivotFmt>
      <c:pivotFmt>
        <c:idx val="5"/>
        <c:spPr>
          <a:solidFill>
            <a:srgbClr val="800000"/>
          </a:solidFill>
          <a:ln w="19050">
            <a:solidFill>
              <a:schemeClr val="lt1"/>
            </a:solidFill>
          </a:ln>
          <a:effectLst>
            <a:outerShdw blurRad="63500" sx="102000" sy="102000" algn="ctr" rotWithShape="0">
              <a:prstClr val="black">
                <a:alpha val="40000"/>
              </a:prstClr>
            </a:outerShdw>
          </a:effectLst>
        </c:spPr>
      </c:pivotFmt>
      <c:pivotFmt>
        <c:idx val="6"/>
        <c:spPr>
          <a:solidFill>
            <a:srgbClr val="FFDAB9"/>
          </a:solidFill>
          <a:ln w="19050">
            <a:solidFill>
              <a:schemeClr val="lt1"/>
            </a:solidFill>
          </a:ln>
          <a:effectLst>
            <a:outerShdw blurRad="63500" sx="102000" sy="102000" algn="ctr" rotWithShape="0">
              <a:prstClr val="black">
                <a:alpha val="40000"/>
              </a:prstClr>
            </a:outerShdw>
          </a:effectLst>
        </c:spPr>
      </c:pivotFmt>
    </c:pivotFmts>
    <c:plotArea>
      <c:layout>
        <c:manualLayout>
          <c:layoutTarget val="inner"/>
          <c:xMode val="edge"/>
          <c:yMode val="edge"/>
          <c:x val="0.2248412239609289"/>
          <c:y val="0.16060728047966169"/>
          <c:w val="0.44906342403402105"/>
          <c:h val="0.7344928113349285"/>
        </c:manualLayout>
      </c:layout>
      <c:pieChart>
        <c:varyColors val="1"/>
        <c:ser>
          <c:idx val="0"/>
          <c:order val="0"/>
          <c:tx>
            <c:strRef>
              <c:f>'Pivot Tables - Payroll'!$B$26</c:f>
              <c:strCache>
                <c:ptCount val="1"/>
                <c:pt idx="0">
                  <c:v>Total</c:v>
                </c:pt>
              </c:strCache>
            </c:strRef>
          </c:tx>
          <c:spPr>
            <a:effectLst>
              <a:outerShdw blurRad="63500" sx="102000" sy="102000" algn="ctr" rotWithShape="0">
                <a:prstClr val="black">
                  <a:alpha val="40000"/>
                </a:prstClr>
              </a:outerShdw>
            </a:effectLst>
          </c:spPr>
          <c:dPt>
            <c:idx val="0"/>
            <c:bubble3D val="0"/>
            <c:spPr>
              <a:solidFill>
                <a:srgbClr val="50C878"/>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9C33-4268-89E8-B6BCD3E4EEE9}"/>
              </c:ext>
            </c:extLst>
          </c:dPt>
          <c:dPt>
            <c:idx val="1"/>
            <c:bubble3D val="0"/>
            <c:spPr>
              <a:solidFill>
                <a:srgbClr val="FFDB58"/>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9C33-4268-89E8-B6BCD3E4EEE9}"/>
              </c:ext>
            </c:extLst>
          </c:dPt>
          <c:dPt>
            <c:idx val="2"/>
            <c:bubble3D val="0"/>
            <c:spPr>
              <a:solidFill>
                <a:srgbClr val="87CEEB"/>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9C33-4268-89E8-B6BCD3E4EEE9}"/>
              </c:ext>
            </c:extLst>
          </c:dPt>
          <c:dPt>
            <c:idx val="3"/>
            <c:bubble3D val="0"/>
            <c:spPr>
              <a:solidFill>
                <a:srgbClr val="800000"/>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9C33-4268-89E8-B6BCD3E4EEE9}"/>
              </c:ext>
            </c:extLst>
          </c:dPt>
          <c:dPt>
            <c:idx val="4"/>
            <c:bubble3D val="0"/>
            <c:spPr>
              <a:solidFill>
                <a:srgbClr val="FFDAB9"/>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9C33-4268-89E8-B6BCD3E4EEE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 Payroll'!$A$27:$A$31</c:f>
              <c:strCache>
                <c:ptCount val="5"/>
                <c:pt idx="0">
                  <c:v>Bangalore</c:v>
                </c:pt>
                <c:pt idx="1">
                  <c:v>Chennai</c:v>
                </c:pt>
                <c:pt idx="2">
                  <c:v>Hyderabad</c:v>
                </c:pt>
                <c:pt idx="3">
                  <c:v>Kolkata</c:v>
                </c:pt>
                <c:pt idx="4">
                  <c:v>Mumbai</c:v>
                </c:pt>
              </c:strCache>
            </c:strRef>
          </c:cat>
          <c:val>
            <c:numRef>
              <c:f>'Pivot Tables - Payroll'!$B$27:$B$31</c:f>
              <c:numCache>
                <c:formatCode>General</c:formatCode>
                <c:ptCount val="5"/>
                <c:pt idx="0">
                  <c:v>77</c:v>
                </c:pt>
                <c:pt idx="1">
                  <c:v>95</c:v>
                </c:pt>
                <c:pt idx="2">
                  <c:v>25</c:v>
                </c:pt>
                <c:pt idx="3">
                  <c:v>43</c:v>
                </c:pt>
                <c:pt idx="4">
                  <c:v>29</c:v>
                </c:pt>
              </c:numCache>
            </c:numRef>
          </c:val>
          <c:extLst>
            <c:ext xmlns:c16="http://schemas.microsoft.com/office/drawing/2014/chart" uri="{C3380CC4-5D6E-409C-BE32-E72D297353CC}">
              <c16:uniqueId val="{00000002-1932-468F-A96E-1FD24E439D8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167616978912121"/>
          <c:y val="0.30808620485782651"/>
          <c:w val="0.21816725495519956"/>
          <c:h val="0.4658416685215068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Payroll!StatsCompare</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Statutory Deductions Overview</a:t>
            </a:r>
            <a:endParaRPr lang="en-IN"/>
          </a:p>
        </c:rich>
      </c:tx>
      <c:layout>
        <c:manualLayout>
          <c:xMode val="edge"/>
          <c:yMode val="edge"/>
          <c:x val="0.25555555555555554"/>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563E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F44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87314085739282"/>
          <c:y val="0.17171296296296296"/>
          <c:w val="0.83657130358705167"/>
          <c:h val="0.64276210265383493"/>
        </c:manualLayout>
      </c:layout>
      <c:bar3DChart>
        <c:barDir val="col"/>
        <c:grouping val="clustered"/>
        <c:varyColors val="0"/>
        <c:ser>
          <c:idx val="0"/>
          <c:order val="0"/>
          <c:tx>
            <c:strRef>
              <c:f>'Pivot Tables - Payroll'!$M$21</c:f>
              <c:strCache>
                <c:ptCount val="1"/>
                <c:pt idx="0">
                  <c:v>Sum of Employee PF</c:v>
                </c:pt>
              </c:strCache>
            </c:strRef>
          </c:tx>
          <c:spPr>
            <a:solidFill>
              <a:srgbClr val="2563EB"/>
            </a:solidFill>
            <a:ln>
              <a:noFill/>
            </a:ln>
            <a:effectLst/>
            <a:sp3d/>
          </c:spPr>
          <c:invertIfNegative val="0"/>
          <c:cat>
            <c:strRef>
              <c:f>'Pivot Tables - Payroll'!$L$22:$L$24</c:f>
              <c:strCache>
                <c:ptCount val="3"/>
                <c:pt idx="0">
                  <c:v>January-2026</c:v>
                </c:pt>
                <c:pt idx="1">
                  <c:v>February-2026</c:v>
                </c:pt>
                <c:pt idx="2">
                  <c:v>March-2026</c:v>
                </c:pt>
              </c:strCache>
            </c:strRef>
          </c:cat>
          <c:val>
            <c:numRef>
              <c:f>'Pivot Tables - Payroll'!$M$22:$M$24</c:f>
              <c:numCache>
                <c:formatCode>"Rs. "#\.##,"L"</c:formatCode>
                <c:ptCount val="3"/>
                <c:pt idx="0">
                  <c:v>189103</c:v>
                </c:pt>
                <c:pt idx="1">
                  <c:v>187854</c:v>
                </c:pt>
                <c:pt idx="2">
                  <c:v>184918</c:v>
                </c:pt>
              </c:numCache>
            </c:numRef>
          </c:val>
          <c:extLst>
            <c:ext xmlns:c16="http://schemas.microsoft.com/office/drawing/2014/chart" uri="{C3380CC4-5D6E-409C-BE32-E72D297353CC}">
              <c16:uniqueId val="{00000000-9704-4FFB-B3B8-0613A3283A83}"/>
            </c:ext>
          </c:extLst>
        </c:ser>
        <c:ser>
          <c:idx val="1"/>
          <c:order val="1"/>
          <c:tx>
            <c:strRef>
              <c:f>'Pivot Tables - Payroll'!$N$21</c:f>
              <c:strCache>
                <c:ptCount val="1"/>
                <c:pt idx="0">
                  <c:v>Sum of Income Tax</c:v>
                </c:pt>
              </c:strCache>
            </c:strRef>
          </c:tx>
          <c:spPr>
            <a:solidFill>
              <a:srgbClr val="EF4444"/>
            </a:solidFill>
            <a:ln>
              <a:noFill/>
            </a:ln>
            <a:effectLst/>
            <a:sp3d/>
          </c:spPr>
          <c:invertIfNegative val="0"/>
          <c:cat>
            <c:strRef>
              <c:f>'Pivot Tables - Payroll'!$L$22:$L$24</c:f>
              <c:strCache>
                <c:ptCount val="3"/>
                <c:pt idx="0">
                  <c:v>January-2026</c:v>
                </c:pt>
                <c:pt idx="1">
                  <c:v>February-2026</c:v>
                </c:pt>
                <c:pt idx="2">
                  <c:v>March-2026</c:v>
                </c:pt>
              </c:strCache>
            </c:strRef>
          </c:cat>
          <c:val>
            <c:numRef>
              <c:f>'Pivot Tables - Payroll'!$N$22:$N$24</c:f>
              <c:numCache>
                <c:formatCode>"Rs. "#\.##,"L"</c:formatCode>
                <c:ptCount val="3"/>
                <c:pt idx="0">
                  <c:v>694824</c:v>
                </c:pt>
                <c:pt idx="1">
                  <c:v>657303</c:v>
                </c:pt>
                <c:pt idx="2">
                  <c:v>662435</c:v>
                </c:pt>
              </c:numCache>
            </c:numRef>
          </c:val>
          <c:extLst>
            <c:ext xmlns:c16="http://schemas.microsoft.com/office/drawing/2014/chart" uri="{C3380CC4-5D6E-409C-BE32-E72D297353CC}">
              <c16:uniqueId val="{00000001-9704-4FFB-B3B8-0613A3283A83}"/>
            </c:ext>
          </c:extLst>
        </c:ser>
        <c:dLbls>
          <c:showLegendKey val="0"/>
          <c:showVal val="0"/>
          <c:showCatName val="0"/>
          <c:showSerName val="0"/>
          <c:showPercent val="0"/>
          <c:showBubbleSize val="0"/>
        </c:dLbls>
        <c:gapWidth val="150"/>
        <c:shape val="box"/>
        <c:axId val="1816757855"/>
        <c:axId val="1816747295"/>
        <c:axId val="0"/>
      </c:bar3DChart>
      <c:catAx>
        <c:axId val="181675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16747295"/>
        <c:crosses val="autoZero"/>
        <c:auto val="1"/>
        <c:lblAlgn val="ctr"/>
        <c:lblOffset val="100"/>
        <c:noMultiLvlLbl val="0"/>
      </c:catAx>
      <c:valAx>
        <c:axId val="1816747295"/>
        <c:scaling>
          <c:orientation val="minMax"/>
        </c:scaling>
        <c:delete val="0"/>
        <c:axPos val="l"/>
        <c:numFmt formatCode="&quot;Rs. &quot;#\.##,&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16757855"/>
        <c:crosses val="autoZero"/>
        <c:crossBetween val="between"/>
      </c:valAx>
      <c:spPr>
        <a:noFill/>
        <a:ln>
          <a:noFill/>
        </a:ln>
        <a:effectLst/>
      </c:spPr>
    </c:plotArea>
    <c:legend>
      <c:legendPos val="b"/>
      <c:layout>
        <c:manualLayout>
          <c:xMode val="edge"/>
          <c:yMode val="edge"/>
          <c:x val="0.22211898512685915"/>
          <c:y val="0.90335593467483233"/>
          <c:w val="0.5557618110236221"/>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Payroll!NS_By Dept</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Department-wise Payroll 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7928093495354"/>
          <c:y val="0.13199369881066533"/>
          <c:w val="0.84361032335746766"/>
          <c:h val="0.70443380768055497"/>
        </c:manualLayout>
      </c:layout>
      <c:barChart>
        <c:barDir val="col"/>
        <c:grouping val="clustered"/>
        <c:varyColors val="0"/>
        <c:ser>
          <c:idx val="0"/>
          <c:order val="0"/>
          <c:tx>
            <c:strRef>
              <c:f>'Pivot Tables - Payroll'!$B$1:$B$2</c:f>
              <c:strCache>
                <c:ptCount val="1"/>
                <c:pt idx="0">
                  <c:v>January-2026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Payroll'!$A$3:$A$7</c:f>
              <c:strCache>
                <c:ptCount val="5"/>
                <c:pt idx="0">
                  <c:v>Analytics</c:v>
                </c:pt>
                <c:pt idx="1">
                  <c:v>Finance</c:v>
                </c:pt>
                <c:pt idx="2">
                  <c:v>HR</c:v>
                </c:pt>
                <c:pt idx="3">
                  <c:v>Payroll</c:v>
                </c:pt>
                <c:pt idx="4">
                  <c:v>Sales</c:v>
                </c:pt>
              </c:strCache>
            </c:strRef>
          </c:cat>
          <c:val>
            <c:numRef>
              <c:f>'Pivot Tables - Payroll'!$B$3:$B$7</c:f>
              <c:numCache>
                <c:formatCode>"Rs. "#\.##,"L"</c:formatCode>
                <c:ptCount val="5"/>
                <c:pt idx="0">
                  <c:v>648450</c:v>
                </c:pt>
                <c:pt idx="1">
                  <c:v>356710</c:v>
                </c:pt>
                <c:pt idx="2">
                  <c:v>449737</c:v>
                </c:pt>
                <c:pt idx="3">
                  <c:v>285671</c:v>
                </c:pt>
                <c:pt idx="4">
                  <c:v>521103</c:v>
                </c:pt>
              </c:numCache>
            </c:numRef>
          </c:val>
          <c:extLst>
            <c:ext xmlns:c16="http://schemas.microsoft.com/office/drawing/2014/chart" uri="{C3380CC4-5D6E-409C-BE32-E72D297353CC}">
              <c16:uniqueId val="{00000000-0F81-410F-9396-A21D27C54702}"/>
            </c:ext>
          </c:extLst>
        </c:ser>
        <c:ser>
          <c:idx val="1"/>
          <c:order val="1"/>
          <c:tx>
            <c:strRef>
              <c:f>'Pivot Tables - Payroll'!$C$1:$C$2</c:f>
              <c:strCache>
                <c:ptCount val="1"/>
                <c:pt idx="0">
                  <c:v>February-2026</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Payroll'!$A$3:$A$7</c:f>
              <c:strCache>
                <c:ptCount val="5"/>
                <c:pt idx="0">
                  <c:v>Analytics</c:v>
                </c:pt>
                <c:pt idx="1">
                  <c:v>Finance</c:v>
                </c:pt>
                <c:pt idx="2">
                  <c:v>HR</c:v>
                </c:pt>
                <c:pt idx="3">
                  <c:v>Payroll</c:v>
                </c:pt>
                <c:pt idx="4">
                  <c:v>Sales</c:v>
                </c:pt>
              </c:strCache>
            </c:strRef>
          </c:cat>
          <c:val>
            <c:numRef>
              <c:f>'Pivot Tables - Payroll'!$C$3:$C$7</c:f>
              <c:numCache>
                <c:formatCode>"Rs. "#\.##,"L"</c:formatCode>
                <c:ptCount val="5"/>
                <c:pt idx="0">
                  <c:v>667220</c:v>
                </c:pt>
                <c:pt idx="1">
                  <c:v>350746</c:v>
                </c:pt>
                <c:pt idx="2">
                  <c:v>490045</c:v>
                </c:pt>
                <c:pt idx="3">
                  <c:v>270238</c:v>
                </c:pt>
                <c:pt idx="4">
                  <c:v>477895</c:v>
                </c:pt>
              </c:numCache>
            </c:numRef>
          </c:val>
          <c:extLst>
            <c:ext xmlns:c16="http://schemas.microsoft.com/office/drawing/2014/chart" uri="{C3380CC4-5D6E-409C-BE32-E72D297353CC}">
              <c16:uniqueId val="{00000006-0F81-410F-9396-A21D27C54702}"/>
            </c:ext>
          </c:extLst>
        </c:ser>
        <c:ser>
          <c:idx val="2"/>
          <c:order val="2"/>
          <c:tx>
            <c:strRef>
              <c:f>'Pivot Tables - Payroll'!$D$1:$D$2</c:f>
              <c:strCache>
                <c:ptCount val="1"/>
                <c:pt idx="0">
                  <c:v>March-2026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 Payroll'!$A$3:$A$7</c:f>
              <c:strCache>
                <c:ptCount val="5"/>
                <c:pt idx="0">
                  <c:v>Analytics</c:v>
                </c:pt>
                <c:pt idx="1">
                  <c:v>Finance</c:v>
                </c:pt>
                <c:pt idx="2">
                  <c:v>HR</c:v>
                </c:pt>
                <c:pt idx="3">
                  <c:v>Payroll</c:v>
                </c:pt>
                <c:pt idx="4">
                  <c:v>Sales</c:v>
                </c:pt>
              </c:strCache>
            </c:strRef>
          </c:cat>
          <c:val>
            <c:numRef>
              <c:f>'Pivot Tables - Payroll'!$D$3:$D$7</c:f>
              <c:numCache>
                <c:formatCode>"Rs. "#\.##,"L"</c:formatCode>
                <c:ptCount val="5"/>
                <c:pt idx="0">
                  <c:v>636131</c:v>
                </c:pt>
                <c:pt idx="1">
                  <c:v>322527</c:v>
                </c:pt>
                <c:pt idx="2">
                  <c:v>483688</c:v>
                </c:pt>
                <c:pt idx="3">
                  <c:v>273409</c:v>
                </c:pt>
                <c:pt idx="4">
                  <c:v>576717</c:v>
                </c:pt>
              </c:numCache>
            </c:numRef>
          </c:val>
          <c:extLst>
            <c:ext xmlns:c16="http://schemas.microsoft.com/office/drawing/2014/chart" uri="{C3380CC4-5D6E-409C-BE32-E72D297353CC}">
              <c16:uniqueId val="{00000007-0F81-410F-9396-A21D27C54702}"/>
            </c:ext>
          </c:extLst>
        </c:ser>
        <c:dLbls>
          <c:showLegendKey val="0"/>
          <c:showVal val="0"/>
          <c:showCatName val="0"/>
          <c:showSerName val="0"/>
          <c:showPercent val="0"/>
          <c:showBubbleSize val="0"/>
        </c:dLbls>
        <c:gapWidth val="100"/>
        <c:overlap val="-24"/>
        <c:axId val="1074846735"/>
        <c:axId val="1074844335"/>
      </c:barChart>
      <c:catAx>
        <c:axId val="10748467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rgbClr val="00B050"/>
                </a:solidFill>
                <a:latin typeface="+mn-lt"/>
                <a:ea typeface="+mn-ea"/>
                <a:cs typeface="+mn-cs"/>
              </a:defRPr>
            </a:pPr>
            <a:endParaRPr lang="en-US"/>
          </a:p>
        </c:txPr>
        <c:crossAx val="1074844335"/>
        <c:crosses val="autoZero"/>
        <c:auto val="1"/>
        <c:lblAlgn val="ctr"/>
        <c:lblOffset val="100"/>
        <c:noMultiLvlLbl val="0"/>
      </c:catAx>
      <c:valAx>
        <c:axId val="1074844335"/>
        <c:scaling>
          <c:orientation val="minMax"/>
        </c:scaling>
        <c:delete val="0"/>
        <c:axPos val="l"/>
        <c:numFmt formatCode="&quot;Rs. &quot;#\.##,&quot;L&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074846735"/>
        <c:crosses val="autoZero"/>
        <c:crossBetween val="between"/>
      </c:valAx>
      <c:spPr>
        <a:noFill/>
        <a:ln>
          <a:noFill/>
        </a:ln>
        <a:effectLst/>
      </c:spPr>
    </c:plotArea>
    <c:legend>
      <c:legendPos val="b"/>
      <c:layout>
        <c:manualLayout>
          <c:xMode val="edge"/>
          <c:yMode val="edge"/>
          <c:x val="0.17961680290018817"/>
          <c:y val="0.89276669138589515"/>
          <c:w val="0.51654054054054055"/>
          <c:h val="7.5377398738680504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Payroll!NS_By Location</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Payroll Expenses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563E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0B98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59E0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958880139981"/>
          <c:y val="0.10720266121461881"/>
          <c:w val="0.72667563429571314"/>
          <c:h val="0.72273199369867824"/>
        </c:manualLayout>
      </c:layout>
      <c:barChart>
        <c:barDir val="bar"/>
        <c:grouping val="clustered"/>
        <c:varyColors val="0"/>
        <c:ser>
          <c:idx val="0"/>
          <c:order val="0"/>
          <c:tx>
            <c:strRef>
              <c:f>'Pivot Tables - Payroll'!$G$1:$G$2</c:f>
              <c:strCache>
                <c:ptCount val="1"/>
                <c:pt idx="0">
                  <c:v>January-2026</c:v>
                </c:pt>
              </c:strCache>
            </c:strRef>
          </c:tx>
          <c:spPr>
            <a:solidFill>
              <a:srgbClr val="2563EB"/>
            </a:solidFill>
            <a:ln>
              <a:noFill/>
            </a:ln>
            <a:effectLst>
              <a:outerShdw blurRad="57150" dist="19050" dir="5400000" algn="ctr" rotWithShape="0">
                <a:srgbClr val="000000">
                  <a:alpha val="63000"/>
                </a:srgbClr>
              </a:outerShdw>
            </a:effectLst>
          </c:spPr>
          <c:invertIfNegative val="0"/>
          <c:cat>
            <c:strRef>
              <c:f>'Pivot Tables - Payroll'!$F$3:$F$7</c:f>
              <c:strCache>
                <c:ptCount val="5"/>
                <c:pt idx="0">
                  <c:v>Bangalore</c:v>
                </c:pt>
                <c:pt idx="1">
                  <c:v>Chennai</c:v>
                </c:pt>
                <c:pt idx="2">
                  <c:v>Hyderabad</c:v>
                </c:pt>
                <c:pt idx="3">
                  <c:v>Kolkata</c:v>
                </c:pt>
                <c:pt idx="4">
                  <c:v>Mumbai</c:v>
                </c:pt>
              </c:strCache>
            </c:strRef>
          </c:cat>
          <c:val>
            <c:numRef>
              <c:f>'Pivot Tables - Payroll'!$G$3:$G$7</c:f>
              <c:numCache>
                <c:formatCode>"Rs. "#\.##,"L"</c:formatCode>
                <c:ptCount val="5"/>
                <c:pt idx="0">
                  <c:v>539154</c:v>
                </c:pt>
                <c:pt idx="1">
                  <c:v>563439</c:v>
                </c:pt>
                <c:pt idx="2">
                  <c:v>334358</c:v>
                </c:pt>
                <c:pt idx="3">
                  <c:v>400618</c:v>
                </c:pt>
                <c:pt idx="4">
                  <c:v>424102</c:v>
                </c:pt>
              </c:numCache>
            </c:numRef>
          </c:val>
          <c:extLst>
            <c:ext xmlns:c16="http://schemas.microsoft.com/office/drawing/2014/chart" uri="{C3380CC4-5D6E-409C-BE32-E72D297353CC}">
              <c16:uniqueId val="{00000000-FA80-418E-849A-1855315A7AD4}"/>
            </c:ext>
          </c:extLst>
        </c:ser>
        <c:ser>
          <c:idx val="1"/>
          <c:order val="1"/>
          <c:tx>
            <c:strRef>
              <c:f>'Pivot Tables - Payroll'!$H$1:$H$2</c:f>
              <c:strCache>
                <c:ptCount val="1"/>
                <c:pt idx="0">
                  <c:v>February-2026</c:v>
                </c:pt>
              </c:strCache>
            </c:strRef>
          </c:tx>
          <c:spPr>
            <a:solidFill>
              <a:srgbClr val="10B981"/>
            </a:solidFill>
            <a:ln>
              <a:noFill/>
            </a:ln>
            <a:effectLst>
              <a:outerShdw blurRad="57150" dist="19050" dir="5400000" algn="ctr" rotWithShape="0">
                <a:srgbClr val="000000">
                  <a:alpha val="63000"/>
                </a:srgbClr>
              </a:outerShdw>
            </a:effectLst>
          </c:spPr>
          <c:invertIfNegative val="0"/>
          <c:cat>
            <c:strRef>
              <c:f>'Pivot Tables - Payroll'!$F$3:$F$7</c:f>
              <c:strCache>
                <c:ptCount val="5"/>
                <c:pt idx="0">
                  <c:v>Bangalore</c:v>
                </c:pt>
                <c:pt idx="1">
                  <c:v>Chennai</c:v>
                </c:pt>
                <c:pt idx="2">
                  <c:v>Hyderabad</c:v>
                </c:pt>
                <c:pt idx="3">
                  <c:v>Kolkata</c:v>
                </c:pt>
                <c:pt idx="4">
                  <c:v>Mumbai</c:v>
                </c:pt>
              </c:strCache>
            </c:strRef>
          </c:cat>
          <c:val>
            <c:numRef>
              <c:f>'Pivot Tables - Payroll'!$H$3:$H$7</c:f>
              <c:numCache>
                <c:formatCode>"Rs. "#\.##,"L"</c:formatCode>
                <c:ptCount val="5"/>
                <c:pt idx="0">
                  <c:v>577553</c:v>
                </c:pt>
                <c:pt idx="1">
                  <c:v>485221</c:v>
                </c:pt>
                <c:pt idx="2">
                  <c:v>393683</c:v>
                </c:pt>
                <c:pt idx="3">
                  <c:v>381034</c:v>
                </c:pt>
                <c:pt idx="4">
                  <c:v>418653</c:v>
                </c:pt>
              </c:numCache>
            </c:numRef>
          </c:val>
          <c:extLst>
            <c:ext xmlns:c16="http://schemas.microsoft.com/office/drawing/2014/chart" uri="{C3380CC4-5D6E-409C-BE32-E72D297353CC}">
              <c16:uniqueId val="{00000007-FA80-418E-849A-1855315A7AD4}"/>
            </c:ext>
          </c:extLst>
        </c:ser>
        <c:ser>
          <c:idx val="2"/>
          <c:order val="2"/>
          <c:tx>
            <c:strRef>
              <c:f>'Pivot Tables - Payroll'!$I$1:$I$2</c:f>
              <c:strCache>
                <c:ptCount val="1"/>
                <c:pt idx="0">
                  <c:v>March-2026</c:v>
                </c:pt>
              </c:strCache>
            </c:strRef>
          </c:tx>
          <c:spPr>
            <a:solidFill>
              <a:srgbClr val="F59E0B"/>
            </a:solidFill>
            <a:ln>
              <a:noFill/>
            </a:ln>
            <a:effectLst>
              <a:outerShdw blurRad="57150" dist="19050" dir="5400000" algn="ctr" rotWithShape="0">
                <a:srgbClr val="000000">
                  <a:alpha val="63000"/>
                </a:srgbClr>
              </a:outerShdw>
            </a:effectLst>
          </c:spPr>
          <c:invertIfNegative val="0"/>
          <c:cat>
            <c:strRef>
              <c:f>'Pivot Tables - Payroll'!$F$3:$F$7</c:f>
              <c:strCache>
                <c:ptCount val="5"/>
                <c:pt idx="0">
                  <c:v>Bangalore</c:v>
                </c:pt>
                <c:pt idx="1">
                  <c:v>Chennai</c:v>
                </c:pt>
                <c:pt idx="2">
                  <c:v>Hyderabad</c:v>
                </c:pt>
                <c:pt idx="3">
                  <c:v>Kolkata</c:v>
                </c:pt>
                <c:pt idx="4">
                  <c:v>Mumbai</c:v>
                </c:pt>
              </c:strCache>
            </c:strRef>
          </c:cat>
          <c:val>
            <c:numRef>
              <c:f>'Pivot Tables - Payroll'!$I$3:$I$7</c:f>
              <c:numCache>
                <c:formatCode>"Rs. "#\.##,"L"</c:formatCode>
                <c:ptCount val="5"/>
                <c:pt idx="0">
                  <c:v>574229</c:v>
                </c:pt>
                <c:pt idx="1">
                  <c:v>530713</c:v>
                </c:pt>
                <c:pt idx="2">
                  <c:v>451070</c:v>
                </c:pt>
                <c:pt idx="3">
                  <c:v>344279</c:v>
                </c:pt>
                <c:pt idx="4">
                  <c:v>392181</c:v>
                </c:pt>
              </c:numCache>
            </c:numRef>
          </c:val>
          <c:extLst>
            <c:ext xmlns:c16="http://schemas.microsoft.com/office/drawing/2014/chart" uri="{C3380CC4-5D6E-409C-BE32-E72D297353CC}">
              <c16:uniqueId val="{00000008-FA80-418E-849A-1855315A7AD4}"/>
            </c:ext>
          </c:extLst>
        </c:ser>
        <c:dLbls>
          <c:showLegendKey val="0"/>
          <c:showVal val="0"/>
          <c:showCatName val="0"/>
          <c:showSerName val="0"/>
          <c:showPercent val="0"/>
          <c:showBubbleSize val="0"/>
        </c:dLbls>
        <c:gapWidth val="115"/>
        <c:overlap val="-20"/>
        <c:axId val="210594799"/>
        <c:axId val="210593359"/>
      </c:barChart>
      <c:catAx>
        <c:axId val="21059479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10593359"/>
        <c:crosses val="autoZero"/>
        <c:auto val="1"/>
        <c:lblAlgn val="ctr"/>
        <c:lblOffset val="100"/>
        <c:noMultiLvlLbl val="0"/>
      </c:catAx>
      <c:valAx>
        <c:axId val="210593359"/>
        <c:scaling>
          <c:orientation val="minMax"/>
          <c:max val="600000"/>
        </c:scaling>
        <c:delete val="0"/>
        <c:axPos val="b"/>
        <c:numFmt formatCode="&quot;Rs. &quot;#\.##,&quot;L&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10594799"/>
        <c:crosses val="autoZero"/>
        <c:crossBetween val="between"/>
      </c:valAx>
      <c:spPr>
        <a:noFill/>
        <a:ln>
          <a:noFill/>
        </a:ln>
        <a:effectLst/>
      </c:spPr>
    </c:plotArea>
    <c:legend>
      <c:legendPos val="b"/>
      <c:layout>
        <c:manualLayout>
          <c:xMode val="edge"/>
          <c:yMode val="edge"/>
          <c:x val="0.20137489063867017"/>
          <c:y val="0.92015582371071036"/>
          <c:w val="0.51654063825223107"/>
          <c:h val="7.5377398738680504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Payroll!OT_By Dept</c:name>
    <c:fmtId val="4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IN" sz="1600" b="1"/>
              <a:t>Overtime Hours by Department</a:t>
            </a:r>
          </a:p>
        </c:rich>
      </c:tx>
      <c:layout>
        <c:manualLayout>
          <c:xMode val="edge"/>
          <c:yMode val="edge"/>
          <c:x val="0.20928138528138529"/>
          <c:y val="5.29801201717056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9000">
                <a:schemeClr val="accent1">
                  <a:lumMod val="45000"/>
                  <a:lumOff val="55000"/>
                </a:schemeClr>
              </a:gs>
              <a:gs pos="38000">
                <a:schemeClr val="accent1">
                  <a:lumMod val="45000"/>
                  <a:lumOff val="55000"/>
                </a:schemeClr>
              </a:gs>
              <a:gs pos="100000">
                <a:schemeClr val="accent1">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19000">
                <a:schemeClr val="accent1">
                  <a:lumMod val="45000"/>
                  <a:lumOff val="55000"/>
                </a:schemeClr>
              </a:gs>
              <a:gs pos="38000">
                <a:schemeClr val="accent1">
                  <a:lumMod val="45000"/>
                  <a:lumOff val="55000"/>
                </a:schemeClr>
              </a:gs>
              <a:gs pos="100000">
                <a:schemeClr val="accent1">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9000">
                <a:schemeClr val="accent1">
                  <a:lumMod val="45000"/>
                  <a:lumOff val="55000"/>
                </a:schemeClr>
              </a:gs>
              <a:gs pos="38000">
                <a:schemeClr val="accent1">
                  <a:lumMod val="45000"/>
                  <a:lumOff val="55000"/>
                </a:schemeClr>
              </a:gs>
              <a:gs pos="100000">
                <a:schemeClr val="accent1">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802195180147934E-2"/>
          <c:y val="0.15947016171683401"/>
          <c:w val="0.86310256672461394"/>
          <c:h val="0.70396905923900521"/>
        </c:manualLayout>
      </c:layout>
      <c:bar3DChart>
        <c:barDir val="col"/>
        <c:grouping val="clustered"/>
        <c:varyColors val="0"/>
        <c:ser>
          <c:idx val="0"/>
          <c:order val="0"/>
          <c:tx>
            <c:strRef>
              <c:f>'Pivot Tables - Payroll'!$P$1</c:f>
              <c:strCache>
                <c:ptCount val="1"/>
                <c:pt idx="0">
                  <c:v>Total</c:v>
                </c:pt>
              </c:strCache>
            </c:strRef>
          </c:tx>
          <c:spPr>
            <a:gradFill>
              <a:gsLst>
                <a:gs pos="0">
                  <a:schemeClr val="accent1">
                    <a:lumMod val="5000"/>
                    <a:lumOff val="95000"/>
                  </a:schemeClr>
                </a:gs>
                <a:gs pos="19000">
                  <a:schemeClr val="accent1">
                    <a:lumMod val="45000"/>
                    <a:lumOff val="55000"/>
                  </a:schemeClr>
                </a:gs>
                <a:gs pos="38000">
                  <a:schemeClr val="accent1">
                    <a:lumMod val="45000"/>
                    <a:lumOff val="55000"/>
                  </a:schemeClr>
                </a:gs>
                <a:gs pos="100000">
                  <a:schemeClr val="accent1">
                    <a:lumMod val="75000"/>
                  </a:schemeClr>
                </a:gs>
              </a:gsLst>
              <a:lin ang="5400000" scaled="1"/>
            </a:gradFill>
            <a:ln>
              <a:noFill/>
            </a:ln>
            <a:effectLst/>
            <a:sp3d/>
          </c:spPr>
          <c:invertIfNegative val="0"/>
          <c:cat>
            <c:strRef>
              <c:f>'Pivot Tables - Payroll'!$O$2:$O$6</c:f>
              <c:strCache>
                <c:ptCount val="5"/>
                <c:pt idx="0">
                  <c:v>Analytics</c:v>
                </c:pt>
                <c:pt idx="1">
                  <c:v>Finance</c:v>
                </c:pt>
                <c:pt idx="2">
                  <c:v>HR</c:v>
                </c:pt>
                <c:pt idx="3">
                  <c:v>Payroll</c:v>
                </c:pt>
                <c:pt idx="4">
                  <c:v>Sales</c:v>
                </c:pt>
              </c:strCache>
            </c:strRef>
          </c:cat>
          <c:val>
            <c:numRef>
              <c:f>'Pivot Tables - Payroll'!$P$2:$P$6</c:f>
              <c:numCache>
                <c:formatCode>General</c:formatCode>
                <c:ptCount val="5"/>
                <c:pt idx="0">
                  <c:v>216</c:v>
                </c:pt>
                <c:pt idx="1">
                  <c:v>205</c:v>
                </c:pt>
                <c:pt idx="2">
                  <c:v>206</c:v>
                </c:pt>
                <c:pt idx="3">
                  <c:v>147</c:v>
                </c:pt>
                <c:pt idx="4">
                  <c:v>172</c:v>
                </c:pt>
              </c:numCache>
            </c:numRef>
          </c:val>
          <c:extLst>
            <c:ext xmlns:c16="http://schemas.microsoft.com/office/drawing/2014/chart" uri="{C3380CC4-5D6E-409C-BE32-E72D297353CC}">
              <c16:uniqueId val="{00000000-775E-45C7-ACBE-1046529EC202}"/>
            </c:ext>
          </c:extLst>
        </c:ser>
        <c:dLbls>
          <c:showLegendKey val="0"/>
          <c:showVal val="0"/>
          <c:showCatName val="0"/>
          <c:showSerName val="0"/>
          <c:showPercent val="0"/>
          <c:showBubbleSize val="0"/>
        </c:dLbls>
        <c:gapWidth val="150"/>
        <c:shape val="box"/>
        <c:axId val="266480367"/>
        <c:axId val="266489007"/>
        <c:axId val="0"/>
      </c:bar3DChart>
      <c:catAx>
        <c:axId val="2664803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66489007"/>
        <c:crosses val="autoZero"/>
        <c:auto val="1"/>
        <c:lblAlgn val="ctr"/>
        <c:lblOffset val="100"/>
        <c:noMultiLvlLbl val="0"/>
      </c:catAx>
      <c:valAx>
        <c:axId val="266489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6648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Payroll!LOP_By Location</c:name>
    <c:fmtId val="5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a:t>LOP Analysis by Location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0C878"/>
          </a:solidFill>
          <a:ln w="19050">
            <a:solidFill>
              <a:schemeClr val="lt1"/>
            </a:solidFill>
          </a:ln>
          <a:effectLst>
            <a:outerShdw blurRad="63500" sx="102000" sy="102000" algn="ctr" rotWithShape="0">
              <a:prstClr val="black">
                <a:alpha val="40000"/>
              </a:prstClr>
            </a:outerShdw>
          </a:effectLst>
        </c:spPr>
      </c:pivotFmt>
      <c:pivotFmt>
        <c:idx val="3"/>
        <c:spPr>
          <a:solidFill>
            <a:srgbClr val="FFDB58"/>
          </a:solidFill>
          <a:ln w="19050">
            <a:solidFill>
              <a:schemeClr val="lt1"/>
            </a:solidFill>
          </a:ln>
          <a:effectLst>
            <a:outerShdw blurRad="63500" sx="102000" sy="102000" algn="ctr" rotWithShape="0">
              <a:prstClr val="black">
                <a:alpha val="40000"/>
              </a:prstClr>
            </a:outerShdw>
          </a:effectLst>
        </c:spPr>
      </c:pivotFmt>
      <c:pivotFmt>
        <c:idx val="4"/>
        <c:spPr>
          <a:solidFill>
            <a:srgbClr val="87CEEB"/>
          </a:solidFill>
          <a:ln w="19050">
            <a:solidFill>
              <a:schemeClr val="lt1"/>
            </a:solidFill>
          </a:ln>
          <a:effectLst>
            <a:outerShdw blurRad="63500" sx="102000" sy="102000" algn="ctr" rotWithShape="0">
              <a:prstClr val="black">
                <a:alpha val="40000"/>
              </a:prstClr>
            </a:outerShdw>
          </a:effectLst>
        </c:spPr>
      </c:pivotFmt>
      <c:pivotFmt>
        <c:idx val="5"/>
        <c:spPr>
          <a:solidFill>
            <a:srgbClr val="800000"/>
          </a:solidFill>
          <a:ln w="19050">
            <a:solidFill>
              <a:schemeClr val="lt1"/>
            </a:solidFill>
          </a:ln>
          <a:effectLst>
            <a:outerShdw blurRad="63500" sx="102000" sy="102000" algn="ctr" rotWithShape="0">
              <a:prstClr val="black">
                <a:alpha val="40000"/>
              </a:prstClr>
            </a:outerShdw>
          </a:effectLst>
        </c:spPr>
      </c:pivotFmt>
      <c:pivotFmt>
        <c:idx val="6"/>
        <c:spPr>
          <a:solidFill>
            <a:srgbClr val="FFDAB9"/>
          </a:solidFill>
          <a:ln w="19050">
            <a:solidFill>
              <a:schemeClr val="lt1"/>
            </a:solidFill>
          </a:ln>
          <a:effectLst>
            <a:outerShdw blurRad="63500" sx="102000" sy="102000" algn="ctr" rotWithShape="0">
              <a:prstClr val="black">
                <a:alpha val="40000"/>
              </a:prstClr>
            </a:outerShdw>
          </a:effectLst>
        </c:spPr>
      </c:pivotFmt>
      <c:pivotFmt>
        <c:idx val="7"/>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0C878"/>
          </a:solidFill>
          <a:ln w="19050">
            <a:solidFill>
              <a:schemeClr val="lt1"/>
            </a:solidFill>
          </a:ln>
          <a:effectLst>
            <a:outerShdw blurRad="63500" sx="102000" sy="102000" algn="ctr" rotWithShape="0">
              <a:prstClr val="black">
                <a:alpha val="40000"/>
              </a:prstClr>
            </a:outerShdw>
          </a:effectLst>
        </c:spPr>
      </c:pivotFmt>
      <c:pivotFmt>
        <c:idx val="9"/>
        <c:spPr>
          <a:solidFill>
            <a:srgbClr val="FFDB58"/>
          </a:solidFill>
          <a:ln w="19050">
            <a:solidFill>
              <a:schemeClr val="lt1"/>
            </a:solidFill>
          </a:ln>
          <a:effectLst>
            <a:outerShdw blurRad="63500" sx="102000" sy="102000" algn="ctr" rotWithShape="0">
              <a:prstClr val="black">
                <a:alpha val="40000"/>
              </a:prstClr>
            </a:outerShdw>
          </a:effectLst>
        </c:spPr>
      </c:pivotFmt>
      <c:pivotFmt>
        <c:idx val="10"/>
        <c:spPr>
          <a:solidFill>
            <a:srgbClr val="87CEEB"/>
          </a:solidFill>
          <a:ln w="19050">
            <a:solidFill>
              <a:schemeClr val="lt1"/>
            </a:solidFill>
          </a:ln>
          <a:effectLst>
            <a:outerShdw blurRad="63500" sx="102000" sy="102000" algn="ctr" rotWithShape="0">
              <a:prstClr val="black">
                <a:alpha val="40000"/>
              </a:prstClr>
            </a:outerShdw>
          </a:effectLst>
        </c:spPr>
      </c:pivotFmt>
      <c:pivotFmt>
        <c:idx val="11"/>
        <c:spPr>
          <a:solidFill>
            <a:srgbClr val="800000"/>
          </a:solidFill>
          <a:ln w="19050">
            <a:solidFill>
              <a:schemeClr val="lt1"/>
            </a:solidFill>
          </a:ln>
          <a:effectLst>
            <a:outerShdw blurRad="63500" sx="102000" sy="102000" algn="ctr" rotWithShape="0">
              <a:prstClr val="black">
                <a:alpha val="40000"/>
              </a:prstClr>
            </a:outerShdw>
          </a:effectLst>
        </c:spPr>
      </c:pivotFmt>
      <c:pivotFmt>
        <c:idx val="12"/>
        <c:spPr>
          <a:solidFill>
            <a:srgbClr val="FFDAB9"/>
          </a:solidFill>
          <a:ln w="19050">
            <a:solidFill>
              <a:schemeClr val="lt1"/>
            </a:solidFill>
          </a:ln>
          <a:effectLst>
            <a:outerShdw blurRad="63500" sx="102000" sy="102000" algn="ctr" rotWithShape="0">
              <a:prstClr val="black">
                <a:alpha val="40000"/>
              </a:prstClr>
            </a:outerShdw>
          </a:effectLst>
        </c:spPr>
      </c:pivotFmt>
      <c:pivotFmt>
        <c:idx val="13"/>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0C878"/>
          </a:solidFill>
          <a:ln w="19050">
            <a:solidFill>
              <a:schemeClr val="lt1"/>
            </a:solidFill>
          </a:ln>
          <a:effectLst>
            <a:outerShdw blurRad="63500" sx="102000" sy="102000" algn="ctr" rotWithShape="0">
              <a:prstClr val="black">
                <a:alpha val="40000"/>
              </a:prstClr>
            </a:outerShdw>
          </a:effectLst>
        </c:spPr>
      </c:pivotFmt>
      <c:pivotFmt>
        <c:idx val="15"/>
        <c:spPr>
          <a:solidFill>
            <a:srgbClr val="FFDB58"/>
          </a:solidFill>
          <a:ln w="19050">
            <a:solidFill>
              <a:schemeClr val="lt1"/>
            </a:solidFill>
          </a:ln>
          <a:effectLst>
            <a:outerShdw blurRad="63500" sx="102000" sy="102000" algn="ctr" rotWithShape="0">
              <a:prstClr val="black">
                <a:alpha val="40000"/>
              </a:prstClr>
            </a:outerShdw>
          </a:effectLst>
        </c:spPr>
      </c:pivotFmt>
      <c:pivotFmt>
        <c:idx val="16"/>
        <c:spPr>
          <a:solidFill>
            <a:srgbClr val="87CEEB"/>
          </a:solidFill>
          <a:ln w="19050">
            <a:solidFill>
              <a:schemeClr val="lt1"/>
            </a:solidFill>
          </a:ln>
          <a:effectLst>
            <a:outerShdw blurRad="63500" sx="102000" sy="102000" algn="ctr" rotWithShape="0">
              <a:prstClr val="black">
                <a:alpha val="40000"/>
              </a:prstClr>
            </a:outerShdw>
          </a:effectLst>
        </c:spPr>
      </c:pivotFmt>
      <c:pivotFmt>
        <c:idx val="17"/>
        <c:spPr>
          <a:solidFill>
            <a:srgbClr val="800000"/>
          </a:solidFill>
          <a:ln w="19050">
            <a:solidFill>
              <a:schemeClr val="lt1"/>
            </a:solidFill>
          </a:ln>
          <a:effectLst>
            <a:outerShdw blurRad="63500" sx="102000" sy="102000" algn="ctr" rotWithShape="0">
              <a:prstClr val="black">
                <a:alpha val="40000"/>
              </a:prstClr>
            </a:outerShdw>
          </a:effectLst>
        </c:spPr>
      </c:pivotFmt>
      <c:pivotFmt>
        <c:idx val="18"/>
        <c:spPr>
          <a:solidFill>
            <a:srgbClr val="FFDAB9"/>
          </a:solidFill>
          <a:ln w="19050">
            <a:solidFill>
              <a:schemeClr val="lt1"/>
            </a:solidFill>
          </a:ln>
          <a:effectLst>
            <a:outerShdw blurRad="63500" sx="102000" sy="102000" algn="ctr" rotWithShape="0">
              <a:prstClr val="black">
                <a:alpha val="40000"/>
              </a:prstClr>
            </a:outerShdw>
          </a:effectLst>
        </c:spPr>
      </c:pivotFmt>
    </c:pivotFmts>
    <c:plotArea>
      <c:layout>
        <c:manualLayout>
          <c:layoutTarget val="inner"/>
          <c:xMode val="edge"/>
          <c:yMode val="edge"/>
          <c:x val="0.22484116209611729"/>
          <c:y val="0.20900644237652113"/>
          <c:w val="0.44906342403402105"/>
          <c:h val="0.7344928113349285"/>
        </c:manualLayout>
      </c:layout>
      <c:pieChart>
        <c:varyColors val="1"/>
        <c:ser>
          <c:idx val="0"/>
          <c:order val="0"/>
          <c:tx>
            <c:strRef>
              <c:f>'Pivot Tables - Payroll'!$B$26</c:f>
              <c:strCache>
                <c:ptCount val="1"/>
                <c:pt idx="0">
                  <c:v>Total</c:v>
                </c:pt>
              </c:strCache>
            </c:strRef>
          </c:tx>
          <c:spPr>
            <a:effectLst>
              <a:outerShdw blurRad="63500" sx="102000" sy="102000" algn="ctr" rotWithShape="0">
                <a:prstClr val="black">
                  <a:alpha val="40000"/>
                </a:prstClr>
              </a:outerShdw>
            </a:effectLst>
          </c:spPr>
          <c:dPt>
            <c:idx val="0"/>
            <c:bubble3D val="0"/>
            <c:spPr>
              <a:solidFill>
                <a:srgbClr val="50C878"/>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EA7D-49B3-8B80-A993FDAC981C}"/>
              </c:ext>
            </c:extLst>
          </c:dPt>
          <c:dPt>
            <c:idx val="1"/>
            <c:bubble3D val="0"/>
            <c:spPr>
              <a:solidFill>
                <a:srgbClr val="FFDB58"/>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EA7D-49B3-8B80-A993FDAC981C}"/>
              </c:ext>
            </c:extLst>
          </c:dPt>
          <c:dPt>
            <c:idx val="2"/>
            <c:bubble3D val="0"/>
            <c:spPr>
              <a:solidFill>
                <a:srgbClr val="87CEEB"/>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EA7D-49B3-8B80-A993FDAC981C}"/>
              </c:ext>
            </c:extLst>
          </c:dPt>
          <c:dPt>
            <c:idx val="3"/>
            <c:bubble3D val="0"/>
            <c:spPr>
              <a:solidFill>
                <a:srgbClr val="800000"/>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EA7D-49B3-8B80-A993FDAC981C}"/>
              </c:ext>
            </c:extLst>
          </c:dPt>
          <c:dPt>
            <c:idx val="4"/>
            <c:bubble3D val="0"/>
            <c:spPr>
              <a:solidFill>
                <a:srgbClr val="FFDAB9"/>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EA7D-49B3-8B80-A993FDAC981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 Payroll'!$A$27:$A$31</c:f>
              <c:strCache>
                <c:ptCount val="5"/>
                <c:pt idx="0">
                  <c:v>Bangalore</c:v>
                </c:pt>
                <c:pt idx="1">
                  <c:v>Chennai</c:v>
                </c:pt>
                <c:pt idx="2">
                  <c:v>Hyderabad</c:v>
                </c:pt>
                <c:pt idx="3">
                  <c:v>Kolkata</c:v>
                </c:pt>
                <c:pt idx="4">
                  <c:v>Mumbai</c:v>
                </c:pt>
              </c:strCache>
            </c:strRef>
          </c:cat>
          <c:val>
            <c:numRef>
              <c:f>'Pivot Tables - Payroll'!$B$27:$B$31</c:f>
              <c:numCache>
                <c:formatCode>General</c:formatCode>
                <c:ptCount val="5"/>
                <c:pt idx="0">
                  <c:v>77</c:v>
                </c:pt>
                <c:pt idx="1">
                  <c:v>95</c:v>
                </c:pt>
                <c:pt idx="2">
                  <c:v>25</c:v>
                </c:pt>
                <c:pt idx="3">
                  <c:v>43</c:v>
                </c:pt>
                <c:pt idx="4">
                  <c:v>29</c:v>
                </c:pt>
              </c:numCache>
            </c:numRef>
          </c:val>
          <c:extLst>
            <c:ext xmlns:c16="http://schemas.microsoft.com/office/drawing/2014/chart" uri="{C3380CC4-5D6E-409C-BE32-E72D297353CC}">
              <c16:uniqueId val="{0000000A-EA7D-49B3-8B80-A993FDAC981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167616978912121"/>
          <c:y val="0.30808620485782651"/>
          <c:w val="0.21816725495519956"/>
          <c:h val="0.4658416685215068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 Excel Project - With Formula - Final.xlsx]Pivot Tables - Payroll!StatsCompare</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Statutory Deductions Overview</a:t>
            </a:r>
            <a:endParaRPr lang="en-IN"/>
          </a:p>
        </c:rich>
      </c:tx>
      <c:layout>
        <c:manualLayout>
          <c:xMode val="edge"/>
          <c:yMode val="edge"/>
          <c:x val="0.25555555555555554"/>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563E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F44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F44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F4444"/>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87314085739282"/>
          <c:y val="0.17171296296296296"/>
          <c:w val="0.83657130358705167"/>
          <c:h val="0.64276210265383493"/>
        </c:manualLayout>
      </c:layout>
      <c:bar3DChart>
        <c:barDir val="col"/>
        <c:grouping val="clustered"/>
        <c:varyColors val="0"/>
        <c:ser>
          <c:idx val="0"/>
          <c:order val="0"/>
          <c:tx>
            <c:strRef>
              <c:f>'Pivot Tables - Payroll'!$M$21</c:f>
              <c:strCache>
                <c:ptCount val="1"/>
                <c:pt idx="0">
                  <c:v>Sum of Employee PF</c:v>
                </c:pt>
              </c:strCache>
            </c:strRef>
          </c:tx>
          <c:spPr>
            <a:solidFill>
              <a:srgbClr val="2563EB"/>
            </a:solidFill>
            <a:ln>
              <a:noFill/>
            </a:ln>
            <a:effectLst>
              <a:outerShdw blurRad="63500" sx="102000" sy="102000" algn="ctr" rotWithShape="0">
                <a:prstClr val="black">
                  <a:alpha val="40000"/>
                </a:prstClr>
              </a:outerShdw>
            </a:effectLst>
            <a:sp3d/>
          </c:spPr>
          <c:invertIfNegative val="0"/>
          <c:cat>
            <c:strRef>
              <c:f>'Pivot Tables - Payroll'!$L$22:$L$24</c:f>
              <c:strCache>
                <c:ptCount val="3"/>
                <c:pt idx="0">
                  <c:v>January-2026</c:v>
                </c:pt>
                <c:pt idx="1">
                  <c:v>February-2026</c:v>
                </c:pt>
                <c:pt idx="2">
                  <c:v>March-2026</c:v>
                </c:pt>
              </c:strCache>
            </c:strRef>
          </c:cat>
          <c:val>
            <c:numRef>
              <c:f>'Pivot Tables - Payroll'!$M$22:$M$24</c:f>
              <c:numCache>
                <c:formatCode>"Rs. "#\.##,"L"</c:formatCode>
                <c:ptCount val="3"/>
                <c:pt idx="0">
                  <c:v>189103</c:v>
                </c:pt>
                <c:pt idx="1">
                  <c:v>187854</c:v>
                </c:pt>
                <c:pt idx="2">
                  <c:v>184918</c:v>
                </c:pt>
              </c:numCache>
            </c:numRef>
          </c:val>
          <c:extLst>
            <c:ext xmlns:c16="http://schemas.microsoft.com/office/drawing/2014/chart" uri="{C3380CC4-5D6E-409C-BE32-E72D297353CC}">
              <c16:uniqueId val="{00000000-2EBA-4175-AB5C-D64E43A74676}"/>
            </c:ext>
          </c:extLst>
        </c:ser>
        <c:ser>
          <c:idx val="1"/>
          <c:order val="1"/>
          <c:tx>
            <c:strRef>
              <c:f>'Pivot Tables - Payroll'!$N$21</c:f>
              <c:strCache>
                <c:ptCount val="1"/>
                <c:pt idx="0">
                  <c:v>Sum of Income Tax</c:v>
                </c:pt>
              </c:strCache>
            </c:strRef>
          </c:tx>
          <c:spPr>
            <a:solidFill>
              <a:srgbClr val="EF4444"/>
            </a:solidFill>
            <a:ln>
              <a:noFill/>
            </a:ln>
            <a:effectLst>
              <a:outerShdw blurRad="63500" sx="102000" sy="102000" algn="ctr" rotWithShape="0">
                <a:prstClr val="black">
                  <a:alpha val="40000"/>
                </a:prstClr>
              </a:outerShdw>
            </a:effectLst>
            <a:sp3d/>
          </c:spPr>
          <c:invertIfNegative val="0"/>
          <c:cat>
            <c:strRef>
              <c:f>'Pivot Tables - Payroll'!$L$22:$L$24</c:f>
              <c:strCache>
                <c:ptCount val="3"/>
                <c:pt idx="0">
                  <c:v>January-2026</c:v>
                </c:pt>
                <c:pt idx="1">
                  <c:v>February-2026</c:v>
                </c:pt>
                <c:pt idx="2">
                  <c:v>March-2026</c:v>
                </c:pt>
              </c:strCache>
            </c:strRef>
          </c:cat>
          <c:val>
            <c:numRef>
              <c:f>'Pivot Tables - Payroll'!$N$22:$N$24</c:f>
              <c:numCache>
                <c:formatCode>"Rs. "#\.##,"L"</c:formatCode>
                <c:ptCount val="3"/>
                <c:pt idx="0">
                  <c:v>694824</c:v>
                </c:pt>
                <c:pt idx="1">
                  <c:v>657303</c:v>
                </c:pt>
                <c:pt idx="2">
                  <c:v>662435</c:v>
                </c:pt>
              </c:numCache>
            </c:numRef>
          </c:val>
          <c:extLst>
            <c:ext xmlns:c16="http://schemas.microsoft.com/office/drawing/2014/chart" uri="{C3380CC4-5D6E-409C-BE32-E72D297353CC}">
              <c16:uniqueId val="{00000001-2EBA-4175-AB5C-D64E43A74676}"/>
            </c:ext>
          </c:extLst>
        </c:ser>
        <c:dLbls>
          <c:showLegendKey val="0"/>
          <c:showVal val="0"/>
          <c:showCatName val="0"/>
          <c:showSerName val="0"/>
          <c:showPercent val="0"/>
          <c:showBubbleSize val="0"/>
        </c:dLbls>
        <c:gapWidth val="150"/>
        <c:shape val="box"/>
        <c:axId val="1816757855"/>
        <c:axId val="1816747295"/>
        <c:axId val="0"/>
      </c:bar3DChart>
      <c:catAx>
        <c:axId val="181675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16747295"/>
        <c:crosses val="autoZero"/>
        <c:auto val="1"/>
        <c:lblAlgn val="ctr"/>
        <c:lblOffset val="100"/>
        <c:noMultiLvlLbl val="0"/>
      </c:catAx>
      <c:valAx>
        <c:axId val="1816747295"/>
        <c:scaling>
          <c:orientation val="minMax"/>
        </c:scaling>
        <c:delete val="0"/>
        <c:axPos val="l"/>
        <c:numFmt formatCode="&quot;Rs. &quot;#\.##,&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16757855"/>
        <c:crosses val="autoZero"/>
        <c:crossBetween val="between"/>
      </c:valAx>
      <c:spPr>
        <a:noFill/>
        <a:ln>
          <a:noFill/>
        </a:ln>
        <a:effectLst/>
      </c:spPr>
    </c:plotArea>
    <c:legend>
      <c:legendPos val="b"/>
      <c:layout>
        <c:manualLayout>
          <c:xMode val="edge"/>
          <c:yMode val="edge"/>
          <c:x val="0.22211898512685915"/>
          <c:y val="0.90335593467483233"/>
          <c:w val="0.56518150273588685"/>
          <c:h val="7.5503884162130747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19.xml"/><Relationship Id="rId7"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3.png"/><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3</xdr:col>
      <xdr:colOff>815899</xdr:colOff>
      <xdr:row>3</xdr:row>
      <xdr:rowOff>100012</xdr:rowOff>
    </xdr:from>
    <xdr:to>
      <xdr:col>8</xdr:col>
      <xdr:colOff>82473</xdr:colOff>
      <xdr:row>17</xdr:row>
      <xdr:rowOff>57149</xdr:rowOff>
    </xdr:to>
    <xdr:graphicFrame macro="">
      <xdr:nvGraphicFramePr>
        <xdr:cNvPr id="4" name="Chart 3">
          <a:extLst>
            <a:ext uri="{FF2B5EF4-FFF2-40B4-BE49-F238E27FC236}">
              <a16:creationId xmlns:a16="http://schemas.microsoft.com/office/drawing/2014/main" id="{83B608B9-9A0E-0FD9-904E-1B81EC43A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116391</xdr:colOff>
      <xdr:row>7</xdr:row>
      <xdr:rowOff>124173</xdr:rowOff>
    </xdr:from>
    <xdr:to>
      <xdr:col>14</xdr:col>
      <xdr:colOff>516441</xdr:colOff>
      <xdr:row>22</xdr:row>
      <xdr:rowOff>14520</xdr:rowOff>
    </xdr:to>
    <xdr:graphicFrame macro="">
      <xdr:nvGraphicFramePr>
        <xdr:cNvPr id="7" name="Chart 6">
          <a:extLst>
            <a:ext uri="{FF2B5EF4-FFF2-40B4-BE49-F238E27FC236}">
              <a16:creationId xmlns:a16="http://schemas.microsoft.com/office/drawing/2014/main" id="{1C5CA1E7-283F-B4A2-00A2-4B01AECB0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247650</xdr:colOff>
      <xdr:row>0</xdr:row>
      <xdr:rowOff>114301</xdr:rowOff>
    </xdr:from>
    <xdr:to>
      <xdr:col>18</xdr:col>
      <xdr:colOff>247650</xdr:colOff>
      <xdr:row>5</xdr:row>
      <xdr:rowOff>171451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0EAF2233-806F-4C1C-3632-73F33627E4D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992100" y="114301"/>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151586</xdr:rowOff>
    </xdr:from>
    <xdr:to>
      <xdr:col>5</xdr:col>
      <xdr:colOff>28575</xdr:colOff>
      <xdr:row>45</xdr:row>
      <xdr:rowOff>41933</xdr:rowOff>
    </xdr:to>
    <xdr:graphicFrame macro="">
      <xdr:nvGraphicFramePr>
        <xdr:cNvPr id="9" name="Chart 8">
          <a:extLst>
            <a:ext uri="{FF2B5EF4-FFF2-40B4-BE49-F238E27FC236}">
              <a16:creationId xmlns:a16="http://schemas.microsoft.com/office/drawing/2014/main" id="{E1EA64D5-16C5-C451-9A54-E7EB3DB34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122894</xdr:colOff>
      <xdr:row>29</xdr:row>
      <xdr:rowOff>140202</xdr:rowOff>
    </xdr:from>
    <xdr:to>
      <xdr:col>9</xdr:col>
      <xdr:colOff>743646</xdr:colOff>
      <xdr:row>44</xdr:row>
      <xdr:rowOff>25902</xdr:rowOff>
    </xdr:to>
    <xdr:graphicFrame macro="">
      <xdr:nvGraphicFramePr>
        <xdr:cNvPr id="10" name="Chart 9">
          <a:extLst>
            <a:ext uri="{FF2B5EF4-FFF2-40B4-BE49-F238E27FC236}">
              <a16:creationId xmlns:a16="http://schemas.microsoft.com/office/drawing/2014/main" id="{C2DE9CC4-85C1-8BBB-BE44-49146CFFA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1007094</xdr:colOff>
      <xdr:row>29</xdr:row>
      <xdr:rowOff>144265</xdr:rowOff>
    </xdr:from>
    <xdr:to>
      <xdr:col>17</xdr:col>
      <xdr:colOff>290397</xdr:colOff>
      <xdr:row>50</xdr:row>
      <xdr:rowOff>23232</xdr:rowOff>
    </xdr:to>
    <xdr:graphicFrame macro="">
      <xdr:nvGraphicFramePr>
        <xdr:cNvPr id="2" name="Chart 1">
          <a:extLst>
            <a:ext uri="{FF2B5EF4-FFF2-40B4-BE49-F238E27FC236}">
              <a16:creationId xmlns:a16="http://schemas.microsoft.com/office/drawing/2014/main" id="{9B0C6A6D-78A8-E328-6F8E-542D7553A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480432</xdr:colOff>
      <xdr:row>0</xdr:row>
      <xdr:rowOff>121967</xdr:rowOff>
    </xdr:from>
    <xdr:to>
      <xdr:col>21</xdr:col>
      <xdr:colOff>497159</xdr:colOff>
      <xdr:row>5</xdr:row>
      <xdr:rowOff>151006</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72522CC-EEC8-DF45-8179-25148D1827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28542" y="121967"/>
              <a:ext cx="1828800" cy="958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248115</xdr:colOff>
      <xdr:row>6</xdr:row>
      <xdr:rowOff>110351</xdr:rowOff>
    </xdr:from>
    <xdr:to>
      <xdr:col>18</xdr:col>
      <xdr:colOff>264842</xdr:colOff>
      <xdr:row>15</xdr:row>
      <xdr:rowOff>116158</xdr:rowOff>
    </xdr:to>
    <mc:AlternateContent xmlns:mc="http://schemas.openxmlformats.org/markup-compatibility/2006" xmlns:a14="http://schemas.microsoft.com/office/drawing/2010/main">
      <mc:Choice Requires="a14">
        <xdr:graphicFrame macro="">
          <xdr:nvGraphicFramePr>
            <xdr:cNvPr id="13" name="Work Location">
              <a:extLst>
                <a:ext uri="{FF2B5EF4-FFF2-40B4-BE49-F238E27FC236}">
                  <a16:creationId xmlns:a16="http://schemas.microsoft.com/office/drawing/2014/main" id="{C95768C5-731E-04B2-2044-4C0985F3CE42}"/>
                </a:ext>
              </a:extLst>
            </xdr:cNvPr>
            <xdr:cNvGraphicFramePr/>
          </xdr:nvGraphicFramePr>
          <xdr:xfrm>
            <a:off x="0" y="0"/>
            <a:ext cx="0" cy="0"/>
          </xdr:xfrm>
          <a:graphic>
            <a:graphicData uri="http://schemas.microsoft.com/office/drawing/2010/slicer">
              <sle:slicer xmlns:sle="http://schemas.microsoft.com/office/drawing/2010/slicer" name="Work Location"/>
            </a:graphicData>
          </a:graphic>
        </xdr:graphicFrame>
      </mc:Choice>
      <mc:Fallback xmlns="">
        <xdr:sp macro="" textlink="">
          <xdr:nvSpPr>
            <xdr:cNvPr id="0" name=""/>
            <xdr:cNvSpPr>
              <a:spLocks noTextEdit="1"/>
            </xdr:cNvSpPr>
          </xdr:nvSpPr>
          <xdr:spPr>
            <a:xfrm>
              <a:off x="12584152" y="1225473"/>
              <a:ext cx="1828800" cy="1678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139390</xdr:rowOff>
    </xdr:from>
    <xdr:to>
      <xdr:col>4</xdr:col>
      <xdr:colOff>267165</xdr:colOff>
      <xdr:row>24</xdr:row>
      <xdr:rowOff>99663</xdr:rowOff>
    </xdr:to>
    <xdr:graphicFrame macro="">
      <xdr:nvGraphicFramePr>
        <xdr:cNvPr id="15" name="Chart 14">
          <a:extLst>
            <a:ext uri="{FF2B5EF4-FFF2-40B4-BE49-F238E27FC236}">
              <a16:creationId xmlns:a16="http://schemas.microsoft.com/office/drawing/2014/main" id="{1807FF33-0C03-C0B7-3DF4-007664DA9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88048</xdr:colOff>
      <xdr:row>6</xdr:row>
      <xdr:rowOff>158208</xdr:rowOff>
    </xdr:from>
    <xdr:to>
      <xdr:col>26</xdr:col>
      <xdr:colOff>453018</xdr:colOff>
      <xdr:row>13</xdr:row>
      <xdr:rowOff>11616</xdr:rowOff>
    </xdr:to>
    <mc:AlternateContent xmlns:mc="http://schemas.openxmlformats.org/markup-compatibility/2006" xmlns:tsle="http://schemas.microsoft.com/office/drawing/2012/timeslicer">
      <mc:Choice Requires="tsle">
        <xdr:graphicFrame macro="">
          <xdr:nvGraphicFramePr>
            <xdr:cNvPr id="16" name="Date Of Joining">
              <a:extLst>
                <a:ext uri="{FF2B5EF4-FFF2-40B4-BE49-F238E27FC236}">
                  <a16:creationId xmlns:a16="http://schemas.microsoft.com/office/drawing/2014/main" id="{165C58C1-2ACD-1C61-3ED7-D5A12861C13B}"/>
                </a:ext>
              </a:extLst>
            </xdr:cNvPr>
            <xdr:cNvGraphicFramePr/>
          </xdr:nvGraphicFramePr>
          <xdr:xfrm>
            <a:off x="0" y="0"/>
            <a:ext cx="0" cy="0"/>
          </xdr:xfrm>
          <a:graphic>
            <a:graphicData uri="http://schemas.microsoft.com/office/drawing/2012/timeslicer">
              <tsle:timeslicer name="Date Of Joining"/>
            </a:graphicData>
          </a:graphic>
        </xdr:graphicFrame>
      </mc:Choice>
      <mc:Fallback xmlns="">
        <xdr:sp macro="" textlink="">
          <xdr:nvSpPr>
            <xdr:cNvPr id="0" name=""/>
            <xdr:cNvSpPr>
              <a:spLocks noTextEdit="1"/>
            </xdr:cNvSpPr>
          </xdr:nvSpPr>
          <xdr:spPr>
            <a:xfrm>
              <a:off x="16652255" y="1273330"/>
              <a:ext cx="2781068" cy="11543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480431</xdr:colOff>
      <xdr:row>6</xdr:row>
      <xdr:rowOff>121967</xdr:rowOff>
    </xdr:from>
    <xdr:to>
      <xdr:col>21</xdr:col>
      <xdr:colOff>497158</xdr:colOff>
      <xdr:row>15</xdr:row>
      <xdr:rowOff>116158</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D473C8EB-2CE5-9B24-4B7B-A2CF8EAA44E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628541" y="1237089"/>
              <a:ext cx="1828800" cy="1666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57149</xdr:rowOff>
    </xdr:from>
    <xdr:to>
      <xdr:col>26</xdr:col>
      <xdr:colOff>552450</xdr:colOff>
      <xdr:row>4</xdr:row>
      <xdr:rowOff>85724</xdr:rowOff>
    </xdr:to>
    <xdr:sp macro="" textlink="">
      <xdr:nvSpPr>
        <xdr:cNvPr id="2" name="Rectangle: Rounded Corners 1">
          <a:extLst>
            <a:ext uri="{FF2B5EF4-FFF2-40B4-BE49-F238E27FC236}">
              <a16:creationId xmlns:a16="http://schemas.microsoft.com/office/drawing/2014/main" id="{7F2159F3-59FB-033B-7787-9961073CB2ED}"/>
            </a:ext>
          </a:extLst>
        </xdr:cNvPr>
        <xdr:cNvSpPr/>
      </xdr:nvSpPr>
      <xdr:spPr>
        <a:xfrm>
          <a:off x="76200" y="57149"/>
          <a:ext cx="16325850" cy="790575"/>
        </a:xfrm>
        <a:prstGeom prst="roundRect">
          <a:avLst>
            <a:gd name="adj" fmla="val 17887"/>
          </a:avLst>
        </a:prstGeom>
        <a:solidFill>
          <a:srgbClr val="085290"/>
        </a:solidFill>
        <a:ln>
          <a:solidFill>
            <a:schemeClr val="tx1"/>
          </a:solidFill>
        </a:ln>
        <a:effectLst>
          <a:glow rad="63500">
            <a:schemeClr val="accent5">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cap="none" spc="0">
              <a:ln w="10160">
                <a:solidFill>
                  <a:srgbClr val="00B0F0"/>
                </a:solidFill>
                <a:prstDash val="solid"/>
              </a:ln>
              <a:solidFill>
                <a:srgbClr val="FFFFFF"/>
              </a:solidFill>
              <a:effectLst>
                <a:outerShdw blurRad="38100" dist="22860" dir="5400000" algn="tl" rotWithShape="0">
                  <a:srgbClr val="000000">
                    <a:alpha val="30000"/>
                  </a:srgbClr>
                </a:outerShdw>
              </a:effectLst>
            </a:rPr>
            <a:t>ASG INDIA PRIVATE LIMITED</a:t>
          </a:r>
          <a:r>
            <a:rPr lang="en-IN" sz="2800" b="1" cap="none" spc="0" baseline="0">
              <a:ln w="10160">
                <a:solidFill>
                  <a:srgbClr val="00B0F0"/>
                </a:solidFill>
                <a:prstDash val="solid"/>
              </a:ln>
              <a:solidFill>
                <a:srgbClr val="FFFFFF"/>
              </a:solidFill>
              <a:effectLst>
                <a:outerShdw blurRad="38100" dist="22860" dir="5400000" algn="tl" rotWithShape="0">
                  <a:srgbClr val="000000">
                    <a:alpha val="30000"/>
                  </a:srgbClr>
                </a:outerShdw>
              </a:effectLst>
            </a:rPr>
            <a:t> - WORKFORCE ANALYTICS DASHBOARD</a:t>
          </a:r>
          <a:endParaRPr lang="en-IN" sz="2800" b="1" cap="none" spc="0">
            <a:ln w="10160">
              <a:solidFill>
                <a:srgbClr val="00B0F0"/>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76200</xdr:colOff>
      <xdr:row>5</xdr:row>
      <xdr:rowOff>76199</xdr:rowOff>
    </xdr:from>
    <xdr:to>
      <xdr:col>4</xdr:col>
      <xdr:colOff>152400</xdr:colOff>
      <xdr:row>10</xdr:row>
      <xdr:rowOff>104774</xdr:rowOff>
    </xdr:to>
    <xdr:sp macro="" textlink="">
      <xdr:nvSpPr>
        <xdr:cNvPr id="8" name="Rectangle: Rounded Corners 7">
          <a:extLst>
            <a:ext uri="{FF2B5EF4-FFF2-40B4-BE49-F238E27FC236}">
              <a16:creationId xmlns:a16="http://schemas.microsoft.com/office/drawing/2014/main" id="{BD96AC3B-815F-107D-465B-28CC49AC00F6}"/>
            </a:ext>
          </a:extLst>
        </xdr:cNvPr>
        <xdr:cNvSpPr/>
      </xdr:nvSpPr>
      <xdr:spPr>
        <a:xfrm>
          <a:off x="76200" y="1028699"/>
          <a:ext cx="2514600" cy="981075"/>
        </a:xfrm>
        <a:prstGeom prst="roundRect">
          <a:avLst>
            <a:gd name="adj" fmla="val 17887"/>
          </a:avLst>
        </a:prstGeom>
        <a:solidFill>
          <a:srgbClr val="085290"/>
        </a:solidFill>
        <a:ln>
          <a:solidFill>
            <a:schemeClr val="tx1"/>
          </a:solidFill>
        </a:ln>
        <a:effectLst>
          <a:glow rad="63500">
            <a:schemeClr val="accent5">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latin typeface="Bahnschrift Light" panose="020B0502040204020203" pitchFamily="34" charset="0"/>
            </a:rPr>
            <a:t>Workforce Strength</a:t>
          </a:r>
          <a:endParaRPr lang="en-IN" sz="1400" b="1" u="sng" cap="none" spc="0">
            <a:ln>
              <a:noFill/>
            </a:ln>
            <a:solidFill>
              <a:schemeClr val="tx1"/>
            </a:solidFill>
            <a:effectLst/>
            <a:latin typeface="Bahnschrift Light" panose="020B0502040204020203" pitchFamily="34" charset="0"/>
          </a:endParaRPr>
        </a:p>
      </xdr:txBody>
    </xdr:sp>
    <xdr:clientData/>
  </xdr:twoCellAnchor>
  <xdr:twoCellAnchor editAs="oneCell">
    <xdr:from>
      <xdr:col>21</xdr:col>
      <xdr:colOff>457200</xdr:colOff>
      <xdr:row>0</xdr:row>
      <xdr:rowOff>123825</xdr:rowOff>
    </xdr:from>
    <xdr:to>
      <xdr:col>22</xdr:col>
      <xdr:colOff>495300</xdr:colOff>
      <xdr:row>4</xdr:row>
      <xdr:rowOff>9525</xdr:rowOff>
    </xdr:to>
    <xdr:pic>
      <xdr:nvPicPr>
        <xdr:cNvPr id="25" name="Graphic 24" descr="Factory with solid fill">
          <a:extLst>
            <a:ext uri="{FF2B5EF4-FFF2-40B4-BE49-F238E27FC236}">
              <a16:creationId xmlns:a16="http://schemas.microsoft.com/office/drawing/2014/main" id="{D7D80B11-2E77-4E37-08CA-824DC99A89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58800" y="123825"/>
          <a:ext cx="647700" cy="647700"/>
        </a:xfrm>
        <a:prstGeom prst="rect">
          <a:avLst/>
        </a:prstGeom>
      </xdr:spPr>
    </xdr:pic>
    <xdr:clientData/>
  </xdr:twoCellAnchor>
  <xdr:twoCellAnchor>
    <xdr:from>
      <xdr:col>0</xdr:col>
      <xdr:colOff>571501</xdr:colOff>
      <xdr:row>7</xdr:row>
      <xdr:rowOff>95250</xdr:rowOff>
    </xdr:from>
    <xdr:to>
      <xdr:col>3</xdr:col>
      <xdr:colOff>57151</xdr:colOff>
      <xdr:row>9</xdr:row>
      <xdr:rowOff>114300</xdr:rowOff>
    </xdr:to>
    <xdr:sp macro="" textlink="'Employee Profile'!W3">
      <xdr:nvSpPr>
        <xdr:cNvPr id="3" name="Rectangle 2">
          <a:extLst>
            <a:ext uri="{FF2B5EF4-FFF2-40B4-BE49-F238E27FC236}">
              <a16:creationId xmlns:a16="http://schemas.microsoft.com/office/drawing/2014/main" id="{1ED8C3BF-F0CB-1021-B449-67CB2BF5F743}"/>
            </a:ext>
          </a:extLst>
        </xdr:cNvPr>
        <xdr:cNvSpPr/>
      </xdr:nvSpPr>
      <xdr:spPr>
        <a:xfrm>
          <a:off x="571501" y="1428750"/>
          <a:ext cx="1314450" cy="400050"/>
        </a:xfrm>
        <a:prstGeom prst="rect">
          <a:avLst/>
        </a:prstGeom>
        <a:no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3FA29FB6-10C1-4838-8758-ECC61E4DD38D}" type="TxLink">
            <a:rPr lang="en-US" sz="32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50</a:t>
          </a:fld>
          <a:endPar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3</xdr:col>
      <xdr:colOff>514350</xdr:colOff>
      <xdr:row>5</xdr:row>
      <xdr:rowOff>76199</xdr:rowOff>
    </xdr:from>
    <xdr:to>
      <xdr:col>7</xdr:col>
      <xdr:colOff>590550</xdr:colOff>
      <xdr:row>10</xdr:row>
      <xdr:rowOff>104774</xdr:rowOff>
    </xdr:to>
    <xdr:sp macro="" textlink="">
      <xdr:nvSpPr>
        <xdr:cNvPr id="6" name="Rectangle: Rounded Corners 5">
          <a:extLst>
            <a:ext uri="{FF2B5EF4-FFF2-40B4-BE49-F238E27FC236}">
              <a16:creationId xmlns:a16="http://schemas.microsoft.com/office/drawing/2014/main" id="{A0B7C366-E213-10FC-5297-4241EF47E9B6}"/>
            </a:ext>
          </a:extLst>
        </xdr:cNvPr>
        <xdr:cNvSpPr/>
      </xdr:nvSpPr>
      <xdr:spPr>
        <a:xfrm>
          <a:off x="2343150" y="1028699"/>
          <a:ext cx="2514600" cy="981075"/>
        </a:xfrm>
        <a:prstGeom prst="roundRect">
          <a:avLst>
            <a:gd name="adj" fmla="val 17887"/>
          </a:avLst>
        </a:prstGeom>
        <a:solidFill>
          <a:srgbClr val="085290"/>
        </a:solidFill>
        <a:ln>
          <a:solidFill>
            <a:schemeClr val="tx1"/>
          </a:solidFill>
        </a:ln>
        <a:effectLst>
          <a:glow rad="63500">
            <a:schemeClr val="accent5">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latin typeface="Bahnschrift Light" panose="020B0502040204020203" pitchFamily="34" charset="0"/>
            </a:rPr>
            <a:t>Active Workforce</a:t>
          </a:r>
          <a:endParaRPr lang="en-IN" sz="1400" b="1" u="sng" cap="none" spc="0">
            <a:ln>
              <a:noFill/>
            </a:ln>
            <a:solidFill>
              <a:schemeClr val="tx1"/>
            </a:solidFill>
            <a:effectLst/>
            <a:latin typeface="Bahnschrift Light" panose="020B0502040204020203" pitchFamily="34" charset="0"/>
          </a:endParaRPr>
        </a:p>
      </xdr:txBody>
    </xdr:sp>
    <xdr:clientData/>
  </xdr:twoCellAnchor>
  <xdr:twoCellAnchor>
    <xdr:from>
      <xdr:col>4</xdr:col>
      <xdr:colOff>400051</xdr:colOff>
      <xdr:row>7</xdr:row>
      <xdr:rowOff>95250</xdr:rowOff>
    </xdr:from>
    <xdr:to>
      <xdr:col>6</xdr:col>
      <xdr:colOff>495301</xdr:colOff>
      <xdr:row>9</xdr:row>
      <xdr:rowOff>114300</xdr:rowOff>
    </xdr:to>
    <xdr:sp macro="" textlink="'Employee Profile'!W5">
      <xdr:nvSpPr>
        <xdr:cNvPr id="7" name="Rectangle 6">
          <a:extLst>
            <a:ext uri="{FF2B5EF4-FFF2-40B4-BE49-F238E27FC236}">
              <a16:creationId xmlns:a16="http://schemas.microsoft.com/office/drawing/2014/main" id="{8FF09023-FA57-CBA9-34E7-935181C3422C}"/>
            </a:ext>
          </a:extLst>
        </xdr:cNvPr>
        <xdr:cNvSpPr/>
      </xdr:nvSpPr>
      <xdr:spPr>
        <a:xfrm>
          <a:off x="2838451" y="1428750"/>
          <a:ext cx="1314450" cy="400050"/>
        </a:xfrm>
        <a:prstGeom prst="rect">
          <a:avLst/>
        </a:prstGeom>
        <a:no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08593F5B-C4AC-4328-8117-9B194825C7CB}" type="TxLink">
            <a:rPr lang="en-US" sz="32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38</a:t>
          </a:fld>
          <a:endPar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7</xdr:col>
      <xdr:colOff>342900</xdr:colOff>
      <xdr:row>5</xdr:row>
      <xdr:rowOff>76199</xdr:rowOff>
    </xdr:from>
    <xdr:to>
      <xdr:col>11</xdr:col>
      <xdr:colOff>419100</xdr:colOff>
      <xdr:row>10</xdr:row>
      <xdr:rowOff>104774</xdr:rowOff>
    </xdr:to>
    <xdr:sp macro="" textlink="">
      <xdr:nvSpPr>
        <xdr:cNvPr id="11" name="Rectangle: Rounded Corners 10">
          <a:extLst>
            <a:ext uri="{FF2B5EF4-FFF2-40B4-BE49-F238E27FC236}">
              <a16:creationId xmlns:a16="http://schemas.microsoft.com/office/drawing/2014/main" id="{EE4FBF0E-DE65-FA79-3AA2-30E75A1F84C7}"/>
            </a:ext>
          </a:extLst>
        </xdr:cNvPr>
        <xdr:cNvSpPr/>
      </xdr:nvSpPr>
      <xdr:spPr>
        <a:xfrm>
          <a:off x="4610100" y="1028699"/>
          <a:ext cx="2514600" cy="981075"/>
        </a:xfrm>
        <a:prstGeom prst="roundRect">
          <a:avLst>
            <a:gd name="adj" fmla="val 17887"/>
          </a:avLst>
        </a:prstGeom>
        <a:solidFill>
          <a:srgbClr val="085290"/>
        </a:solidFill>
        <a:ln>
          <a:solidFill>
            <a:schemeClr val="tx1"/>
          </a:solidFill>
        </a:ln>
        <a:effectLst>
          <a:glow rad="63500">
            <a:schemeClr val="accent5">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latin typeface="Bahnschrift Light" panose="020B0502040204020203" pitchFamily="34" charset="0"/>
            </a:rPr>
            <a:t>Departments</a:t>
          </a:r>
          <a:endParaRPr lang="en-IN" sz="1400" b="1" u="sng" cap="none" spc="0">
            <a:ln>
              <a:noFill/>
            </a:ln>
            <a:solidFill>
              <a:schemeClr val="tx1"/>
            </a:solidFill>
            <a:effectLst/>
            <a:latin typeface="Bahnschrift Light" panose="020B0502040204020203" pitchFamily="34" charset="0"/>
          </a:endParaRPr>
        </a:p>
      </xdr:txBody>
    </xdr:sp>
    <xdr:clientData/>
  </xdr:twoCellAnchor>
  <xdr:twoCellAnchor>
    <xdr:from>
      <xdr:col>8</xdr:col>
      <xdr:colOff>228601</xdr:colOff>
      <xdr:row>7</xdr:row>
      <xdr:rowOff>95250</xdr:rowOff>
    </xdr:from>
    <xdr:to>
      <xdr:col>10</xdr:col>
      <xdr:colOff>323851</xdr:colOff>
      <xdr:row>9</xdr:row>
      <xdr:rowOff>114300</xdr:rowOff>
    </xdr:to>
    <xdr:sp macro="" textlink="'Employee Profile'!W7">
      <xdr:nvSpPr>
        <xdr:cNvPr id="12" name="Rectangle 11">
          <a:extLst>
            <a:ext uri="{FF2B5EF4-FFF2-40B4-BE49-F238E27FC236}">
              <a16:creationId xmlns:a16="http://schemas.microsoft.com/office/drawing/2014/main" id="{6604D0B0-A99B-0428-F895-EE173346B8FB}"/>
            </a:ext>
          </a:extLst>
        </xdr:cNvPr>
        <xdr:cNvSpPr/>
      </xdr:nvSpPr>
      <xdr:spPr>
        <a:xfrm>
          <a:off x="5105401" y="1428750"/>
          <a:ext cx="1314450" cy="400050"/>
        </a:xfrm>
        <a:prstGeom prst="rect">
          <a:avLst/>
        </a:prstGeom>
        <a:no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4CFF7BEE-CB1F-459E-9723-F36045742DB5}" type="TxLink">
            <a:rPr lang="en-US" sz="32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5</a:t>
          </a:fld>
          <a:endPar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11</xdr:col>
      <xdr:colOff>161925</xdr:colOff>
      <xdr:row>5</xdr:row>
      <xdr:rowOff>76199</xdr:rowOff>
    </xdr:from>
    <xdr:to>
      <xdr:col>15</xdr:col>
      <xdr:colOff>238125</xdr:colOff>
      <xdr:row>10</xdr:row>
      <xdr:rowOff>104774</xdr:rowOff>
    </xdr:to>
    <xdr:sp macro="" textlink="">
      <xdr:nvSpPr>
        <xdr:cNvPr id="13" name="Rectangle: Rounded Corners 12">
          <a:extLst>
            <a:ext uri="{FF2B5EF4-FFF2-40B4-BE49-F238E27FC236}">
              <a16:creationId xmlns:a16="http://schemas.microsoft.com/office/drawing/2014/main" id="{4AF32A4E-553A-28E6-60C5-E4D0AFD638CF}"/>
            </a:ext>
          </a:extLst>
        </xdr:cNvPr>
        <xdr:cNvSpPr/>
      </xdr:nvSpPr>
      <xdr:spPr>
        <a:xfrm>
          <a:off x="6867525" y="1028699"/>
          <a:ext cx="2514600" cy="981075"/>
        </a:xfrm>
        <a:prstGeom prst="roundRect">
          <a:avLst>
            <a:gd name="adj" fmla="val 17887"/>
          </a:avLst>
        </a:prstGeom>
        <a:solidFill>
          <a:srgbClr val="085290"/>
        </a:solidFill>
        <a:ln>
          <a:solidFill>
            <a:schemeClr val="tx1"/>
          </a:solidFill>
        </a:ln>
        <a:effectLst>
          <a:glow rad="63500">
            <a:schemeClr val="accent5">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latin typeface="Bahnschrift Light" panose="020B0502040204020203" pitchFamily="34" charset="0"/>
            </a:rPr>
            <a:t>Geographic Presence</a:t>
          </a:r>
        </a:p>
      </xdr:txBody>
    </xdr:sp>
    <xdr:clientData/>
  </xdr:twoCellAnchor>
  <xdr:twoCellAnchor>
    <xdr:from>
      <xdr:col>12</xdr:col>
      <xdr:colOff>47626</xdr:colOff>
      <xdr:row>7</xdr:row>
      <xdr:rowOff>95250</xdr:rowOff>
    </xdr:from>
    <xdr:to>
      <xdr:col>14</xdr:col>
      <xdr:colOff>142876</xdr:colOff>
      <xdr:row>9</xdr:row>
      <xdr:rowOff>114300</xdr:rowOff>
    </xdr:to>
    <xdr:sp macro="" textlink="'Employee Profile'!W9">
      <xdr:nvSpPr>
        <xdr:cNvPr id="14" name="Rectangle 13">
          <a:extLst>
            <a:ext uri="{FF2B5EF4-FFF2-40B4-BE49-F238E27FC236}">
              <a16:creationId xmlns:a16="http://schemas.microsoft.com/office/drawing/2014/main" id="{A3D81838-96EA-CAC6-4E91-8442A225A9C2}"/>
            </a:ext>
          </a:extLst>
        </xdr:cNvPr>
        <xdr:cNvSpPr/>
      </xdr:nvSpPr>
      <xdr:spPr>
        <a:xfrm>
          <a:off x="7362826" y="1428750"/>
          <a:ext cx="1314450" cy="400050"/>
        </a:xfrm>
        <a:prstGeom prst="rect">
          <a:avLst/>
        </a:prstGeom>
        <a:no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6121A3C0-4AF3-401B-9976-CCBA52D15A55}" type="TxLink">
            <a:rPr lang="en-US" sz="32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5</a:t>
          </a:fld>
          <a:endPar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editAs="oneCell">
    <xdr:from>
      <xdr:col>15</xdr:col>
      <xdr:colOff>476250</xdr:colOff>
      <xdr:row>5</xdr:row>
      <xdr:rowOff>104775</xdr:rowOff>
    </xdr:from>
    <xdr:to>
      <xdr:col>18</xdr:col>
      <xdr:colOff>459523</xdr:colOff>
      <xdr:row>10</xdr:row>
      <xdr:rowOff>138693</xdr:rowOff>
    </xdr:to>
    <mc:AlternateContent xmlns:mc="http://schemas.openxmlformats.org/markup-compatibility/2006" xmlns:a14="http://schemas.microsoft.com/office/drawing/2010/main">
      <mc:Choice Requires="a14">
        <xdr:graphicFrame macro="">
          <xdr:nvGraphicFramePr>
            <xdr:cNvPr id="38" name="Status 1">
              <a:extLst>
                <a:ext uri="{FF2B5EF4-FFF2-40B4-BE49-F238E27FC236}">
                  <a16:creationId xmlns:a16="http://schemas.microsoft.com/office/drawing/2014/main" id="{BC54F163-BE61-467A-8550-B07FCB8DA0D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620250" y="1057275"/>
              <a:ext cx="1812073" cy="986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82705</xdr:colOff>
      <xdr:row>5</xdr:row>
      <xdr:rowOff>112441</xdr:rowOff>
    </xdr:from>
    <xdr:to>
      <xdr:col>22</xdr:col>
      <xdr:colOff>82705</xdr:colOff>
      <xdr:row>10</xdr:row>
      <xdr:rowOff>118248</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06EE41DD-B5CC-47EE-A3E0-648074046DB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65105" y="1064941"/>
              <a:ext cx="1828800" cy="958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247651</xdr:colOff>
      <xdr:row>5</xdr:row>
      <xdr:rowOff>25554</xdr:rowOff>
    </xdr:from>
    <xdr:to>
      <xdr:col>26</xdr:col>
      <xdr:colOff>533400</xdr:colOff>
      <xdr:row>11</xdr:row>
      <xdr:rowOff>19050</xdr:rowOff>
    </xdr:to>
    <mc:AlternateContent xmlns:mc="http://schemas.openxmlformats.org/markup-compatibility/2006" xmlns:tsle="http://schemas.microsoft.com/office/drawing/2012/timeslicer">
      <mc:Choice Requires="tsle">
        <xdr:graphicFrame macro="">
          <xdr:nvGraphicFramePr>
            <xdr:cNvPr id="40" name="Date Of Joining 1">
              <a:extLst>
                <a:ext uri="{FF2B5EF4-FFF2-40B4-BE49-F238E27FC236}">
                  <a16:creationId xmlns:a16="http://schemas.microsoft.com/office/drawing/2014/main" id="{8567FC60-BBEF-478D-B26A-35D93E304B57}"/>
                </a:ext>
              </a:extLst>
            </xdr:cNvPr>
            <xdr:cNvGraphicFramePr/>
          </xdr:nvGraphicFramePr>
          <xdr:xfrm>
            <a:off x="0" y="0"/>
            <a:ext cx="0" cy="0"/>
          </xdr:xfrm>
          <a:graphic>
            <a:graphicData uri="http://schemas.microsoft.com/office/drawing/2012/timeslicer">
              <tsle:timeslicer name="Date Of Joining 1"/>
            </a:graphicData>
          </a:graphic>
        </xdr:graphicFrame>
      </mc:Choice>
      <mc:Fallback xmlns="">
        <xdr:sp macro="" textlink="">
          <xdr:nvSpPr>
            <xdr:cNvPr id="0" name=""/>
            <xdr:cNvSpPr>
              <a:spLocks noTextEdit="1"/>
            </xdr:cNvSpPr>
          </xdr:nvSpPr>
          <xdr:spPr>
            <a:xfrm>
              <a:off x="13658851" y="978054"/>
              <a:ext cx="2724149" cy="11364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104775</xdr:colOff>
      <xdr:row>12</xdr:row>
      <xdr:rowOff>161925</xdr:rowOff>
    </xdr:from>
    <xdr:to>
      <xdr:col>3</xdr:col>
      <xdr:colOff>104775</xdr:colOff>
      <xdr:row>22</xdr:row>
      <xdr:rowOff>0</xdr:rowOff>
    </xdr:to>
    <mc:AlternateContent xmlns:mc="http://schemas.openxmlformats.org/markup-compatibility/2006" xmlns:a14="http://schemas.microsoft.com/office/drawing/2010/main">
      <mc:Choice Requires="a14">
        <xdr:graphicFrame macro="">
          <xdr:nvGraphicFramePr>
            <xdr:cNvPr id="41" name="Work Location 1">
              <a:extLst>
                <a:ext uri="{FF2B5EF4-FFF2-40B4-BE49-F238E27FC236}">
                  <a16:creationId xmlns:a16="http://schemas.microsoft.com/office/drawing/2014/main" id="{816DC42A-A1C9-4AC4-A339-65ED82E46D85}"/>
                </a:ext>
              </a:extLst>
            </xdr:cNvPr>
            <xdr:cNvGraphicFramePr/>
          </xdr:nvGraphicFramePr>
          <xdr:xfrm>
            <a:off x="0" y="0"/>
            <a:ext cx="0" cy="0"/>
          </xdr:xfrm>
          <a:graphic>
            <a:graphicData uri="http://schemas.microsoft.com/office/drawing/2010/slicer">
              <sle:slicer xmlns:sle="http://schemas.microsoft.com/office/drawing/2010/slicer" name="Work Location 1"/>
            </a:graphicData>
          </a:graphic>
        </xdr:graphicFrame>
      </mc:Choice>
      <mc:Fallback xmlns="">
        <xdr:sp macro="" textlink="">
          <xdr:nvSpPr>
            <xdr:cNvPr id="0" name=""/>
            <xdr:cNvSpPr>
              <a:spLocks noTextEdit="1"/>
            </xdr:cNvSpPr>
          </xdr:nvSpPr>
          <xdr:spPr>
            <a:xfrm>
              <a:off x="104775" y="244792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72714</xdr:colOff>
      <xdr:row>24</xdr:row>
      <xdr:rowOff>59240</xdr:rowOff>
    </xdr:from>
    <xdr:to>
      <xdr:col>3</xdr:col>
      <xdr:colOff>72714</xdr:colOff>
      <xdr:row>33</xdr:row>
      <xdr:rowOff>66675</xdr:rowOff>
    </xdr:to>
    <mc:AlternateContent xmlns:mc="http://schemas.openxmlformats.org/markup-compatibility/2006" xmlns:a14="http://schemas.microsoft.com/office/drawing/2010/main">
      <mc:Choice Requires="a14">
        <xdr:graphicFrame macro="">
          <xdr:nvGraphicFramePr>
            <xdr:cNvPr id="42" name="Department 1">
              <a:extLst>
                <a:ext uri="{FF2B5EF4-FFF2-40B4-BE49-F238E27FC236}">
                  <a16:creationId xmlns:a16="http://schemas.microsoft.com/office/drawing/2014/main" id="{6DE284CE-7776-4131-85F8-E635C14DFF4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2714" y="4631240"/>
              <a:ext cx="1828800" cy="1721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276225</xdr:colOff>
      <xdr:row>28</xdr:row>
      <xdr:rowOff>2323</xdr:rowOff>
    </xdr:from>
    <xdr:to>
      <xdr:col>10</xdr:col>
      <xdr:colOff>114300</xdr:colOff>
      <xdr:row>42</xdr:row>
      <xdr:rowOff>13475</xdr:rowOff>
    </xdr:to>
    <xdr:graphicFrame macro="">
      <xdr:nvGraphicFramePr>
        <xdr:cNvPr id="45" name="Chart 44">
          <a:extLst>
            <a:ext uri="{FF2B5EF4-FFF2-40B4-BE49-F238E27FC236}">
              <a16:creationId xmlns:a16="http://schemas.microsoft.com/office/drawing/2014/main" id="{6B8C0AAC-7906-45B4-A341-2973A9B9A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499248</xdr:colOff>
      <xdr:row>27</xdr:row>
      <xdr:rowOff>167035</xdr:rowOff>
    </xdr:from>
    <xdr:to>
      <xdr:col>18</xdr:col>
      <xdr:colOff>95250</xdr:colOff>
      <xdr:row>42</xdr:row>
      <xdr:rowOff>0</xdr:rowOff>
    </xdr:to>
    <xdr:graphicFrame macro="">
      <xdr:nvGraphicFramePr>
        <xdr:cNvPr id="46" name="Chart 45">
          <a:extLst>
            <a:ext uri="{FF2B5EF4-FFF2-40B4-BE49-F238E27FC236}">
              <a16:creationId xmlns:a16="http://schemas.microsoft.com/office/drawing/2014/main" id="{707B7C8C-7BE9-4030-A533-C27BA0B5E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408412</xdr:colOff>
      <xdr:row>27</xdr:row>
      <xdr:rowOff>180624</xdr:rowOff>
    </xdr:from>
    <xdr:to>
      <xdr:col>26</xdr:col>
      <xdr:colOff>533399</xdr:colOff>
      <xdr:row>41</xdr:row>
      <xdr:rowOff>180976</xdr:rowOff>
    </xdr:to>
    <xdr:graphicFrame macro="">
      <xdr:nvGraphicFramePr>
        <xdr:cNvPr id="47" name="Chart 46">
          <a:extLst>
            <a:ext uri="{FF2B5EF4-FFF2-40B4-BE49-F238E27FC236}">
              <a16:creationId xmlns:a16="http://schemas.microsoft.com/office/drawing/2014/main" id="{1CD17AFE-0E61-4762-964A-212318629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266700</xdr:colOff>
      <xdr:row>11</xdr:row>
      <xdr:rowOff>135093</xdr:rowOff>
    </xdr:from>
    <xdr:to>
      <xdr:col>10</xdr:col>
      <xdr:colOff>133350</xdr:colOff>
      <xdr:row>27</xdr:row>
      <xdr:rowOff>28574</xdr:rowOff>
    </xdr:to>
    <xdr:graphicFrame macro="">
      <xdr:nvGraphicFramePr>
        <xdr:cNvPr id="48" name="Chart 47">
          <a:extLst>
            <a:ext uri="{FF2B5EF4-FFF2-40B4-BE49-F238E27FC236}">
              <a16:creationId xmlns:a16="http://schemas.microsoft.com/office/drawing/2014/main" id="{2A9F6152-52BC-4023-88CA-028DB7999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xdr:colOff>
      <xdr:row>0</xdr:row>
      <xdr:rowOff>66676</xdr:rowOff>
    </xdr:from>
    <xdr:to>
      <xdr:col>5</xdr:col>
      <xdr:colOff>238125</xdr:colOff>
      <xdr:row>4</xdr:row>
      <xdr:rowOff>152400</xdr:rowOff>
    </xdr:to>
    <xdr:pic>
      <xdr:nvPicPr>
        <xdr:cNvPr id="5" name="Picture 4">
          <a:extLst>
            <a:ext uri="{FF2B5EF4-FFF2-40B4-BE49-F238E27FC236}">
              <a16:creationId xmlns:a16="http://schemas.microsoft.com/office/drawing/2014/main" id="{783EBF40-F263-22D6-4286-AA85EA37D8E7}"/>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438401" y="66676"/>
          <a:ext cx="847724" cy="847724"/>
        </a:xfrm>
        <a:prstGeom prst="rect">
          <a:avLst/>
        </a:prstGeom>
      </xdr:spPr>
    </xdr:pic>
    <xdr:clientData/>
  </xdr:twoCellAnchor>
  <xdr:twoCellAnchor>
    <xdr:from>
      <xdr:col>10</xdr:col>
      <xdr:colOff>514349</xdr:colOff>
      <xdr:row>11</xdr:row>
      <xdr:rowOff>161925</xdr:rowOff>
    </xdr:from>
    <xdr:to>
      <xdr:col>18</xdr:col>
      <xdr:colOff>104774</xdr:colOff>
      <xdr:row>27</xdr:row>
      <xdr:rowOff>28575</xdr:rowOff>
    </xdr:to>
    <xdr:graphicFrame macro="">
      <xdr:nvGraphicFramePr>
        <xdr:cNvPr id="4" name="Chart 3">
          <a:extLst>
            <a:ext uri="{FF2B5EF4-FFF2-40B4-BE49-F238E27FC236}">
              <a16:creationId xmlns:a16="http://schemas.microsoft.com/office/drawing/2014/main" id="{4BD1F015-6DE5-4013-A496-53A9AF23F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381000</xdr:colOff>
      <xdr:row>11</xdr:row>
      <xdr:rowOff>180975</xdr:rowOff>
    </xdr:from>
    <xdr:to>
      <xdr:col>26</xdr:col>
      <xdr:colOff>523875</xdr:colOff>
      <xdr:row>26</xdr:row>
      <xdr:rowOff>152400</xdr:rowOff>
    </xdr:to>
    <xdr:graphicFrame macro="">
      <xdr:nvGraphicFramePr>
        <xdr:cNvPr id="9" name="Chart 8">
          <a:extLst>
            <a:ext uri="{FF2B5EF4-FFF2-40B4-BE49-F238E27FC236}">
              <a16:creationId xmlns:a16="http://schemas.microsoft.com/office/drawing/2014/main" id="{3FC06258-73E1-452A-B5E3-3AA3C00E0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xdr:colOff>
      <xdr:row>7</xdr:row>
      <xdr:rowOff>28575</xdr:rowOff>
    </xdr:from>
    <xdr:to>
      <xdr:col>4</xdr:col>
      <xdr:colOff>19050</xdr:colOff>
      <xdr:row>12</xdr:row>
      <xdr:rowOff>47625</xdr:rowOff>
    </xdr:to>
    <xdr:sp macro="" textlink="">
      <xdr:nvSpPr>
        <xdr:cNvPr id="2" name="Rectangle: Top Corners One Rounded and One Snipped 1">
          <a:extLst>
            <a:ext uri="{FF2B5EF4-FFF2-40B4-BE49-F238E27FC236}">
              <a16:creationId xmlns:a16="http://schemas.microsoft.com/office/drawing/2014/main" id="{EA7C6786-D69E-D1C6-1A7F-589B55B8C4C9}"/>
            </a:ext>
          </a:extLst>
        </xdr:cNvPr>
        <xdr:cNvSpPr/>
      </xdr:nvSpPr>
      <xdr:spPr>
        <a:xfrm>
          <a:off x="614362" y="1362075"/>
          <a:ext cx="1843088" cy="971550"/>
        </a:xfrm>
        <a:prstGeom prst="snipRoundRect">
          <a:avLst/>
        </a:prstGeom>
        <a:solidFill>
          <a:srgbClr val="2A9D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Workforce Retention</a:t>
          </a:r>
        </a:p>
      </xdr:txBody>
    </xdr:sp>
    <xdr:clientData/>
  </xdr:twoCellAnchor>
  <xdr:twoCellAnchor>
    <xdr:from>
      <xdr:col>1</xdr:col>
      <xdr:colOff>4762</xdr:colOff>
      <xdr:row>13</xdr:row>
      <xdr:rowOff>119062</xdr:rowOff>
    </xdr:from>
    <xdr:to>
      <xdr:col>4</xdr:col>
      <xdr:colOff>19050</xdr:colOff>
      <xdr:row>18</xdr:row>
      <xdr:rowOff>138112</xdr:rowOff>
    </xdr:to>
    <xdr:sp macro="" textlink="">
      <xdr:nvSpPr>
        <xdr:cNvPr id="7" name="Rectangle: Top Corners One Rounded and One Snipped 6">
          <a:extLst>
            <a:ext uri="{FF2B5EF4-FFF2-40B4-BE49-F238E27FC236}">
              <a16:creationId xmlns:a16="http://schemas.microsoft.com/office/drawing/2014/main" id="{D13A6B1A-9BBC-423E-9B2F-03E98433EACD}"/>
            </a:ext>
          </a:extLst>
        </xdr:cNvPr>
        <xdr:cNvSpPr/>
      </xdr:nvSpPr>
      <xdr:spPr>
        <a:xfrm>
          <a:off x="614362" y="2595562"/>
          <a:ext cx="1843088" cy="971550"/>
        </a:xfrm>
        <a:prstGeom prst="snipRoundRect">
          <a:avLst/>
        </a:prstGeom>
        <a:solidFill>
          <a:srgbClr val="2A9D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Qualification Profile</a:t>
          </a:r>
        </a:p>
      </xdr:txBody>
    </xdr:sp>
    <xdr:clientData/>
  </xdr:twoCellAnchor>
  <xdr:twoCellAnchor>
    <xdr:from>
      <xdr:col>1</xdr:col>
      <xdr:colOff>4762</xdr:colOff>
      <xdr:row>20</xdr:row>
      <xdr:rowOff>0</xdr:rowOff>
    </xdr:from>
    <xdr:to>
      <xdr:col>4</xdr:col>
      <xdr:colOff>19050</xdr:colOff>
      <xdr:row>25</xdr:row>
      <xdr:rowOff>19050</xdr:rowOff>
    </xdr:to>
    <xdr:sp macro="" textlink="">
      <xdr:nvSpPr>
        <xdr:cNvPr id="8" name="Rectangle: Top Corners One Rounded and One Snipped 7">
          <a:extLst>
            <a:ext uri="{FF2B5EF4-FFF2-40B4-BE49-F238E27FC236}">
              <a16:creationId xmlns:a16="http://schemas.microsoft.com/office/drawing/2014/main" id="{2E6715C7-2C04-4C91-BA58-7000BC237246}"/>
            </a:ext>
          </a:extLst>
        </xdr:cNvPr>
        <xdr:cNvSpPr/>
      </xdr:nvSpPr>
      <xdr:spPr>
        <a:xfrm>
          <a:off x="614362" y="3810000"/>
          <a:ext cx="1843088" cy="971550"/>
        </a:xfrm>
        <a:prstGeom prst="snipRoundRect">
          <a:avLst/>
        </a:prstGeom>
        <a:solidFill>
          <a:srgbClr val="2A9D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Location Concentration</a:t>
          </a:r>
        </a:p>
      </xdr:txBody>
    </xdr:sp>
    <xdr:clientData/>
  </xdr:twoCellAnchor>
  <xdr:twoCellAnchor>
    <xdr:from>
      <xdr:col>1</xdr:col>
      <xdr:colOff>4762</xdr:colOff>
      <xdr:row>26</xdr:row>
      <xdr:rowOff>109537</xdr:rowOff>
    </xdr:from>
    <xdr:to>
      <xdr:col>4</xdr:col>
      <xdr:colOff>19050</xdr:colOff>
      <xdr:row>31</xdr:row>
      <xdr:rowOff>128587</xdr:rowOff>
    </xdr:to>
    <xdr:sp macro="" textlink="">
      <xdr:nvSpPr>
        <xdr:cNvPr id="9" name="Rectangle: Top Corners One Rounded and One Snipped 8">
          <a:extLst>
            <a:ext uri="{FF2B5EF4-FFF2-40B4-BE49-F238E27FC236}">
              <a16:creationId xmlns:a16="http://schemas.microsoft.com/office/drawing/2014/main" id="{00F5D3A6-D662-4D17-B764-40EAA7B3FDDC}"/>
            </a:ext>
          </a:extLst>
        </xdr:cNvPr>
        <xdr:cNvSpPr/>
      </xdr:nvSpPr>
      <xdr:spPr>
        <a:xfrm>
          <a:off x="614362" y="5062537"/>
          <a:ext cx="1843088" cy="971550"/>
        </a:xfrm>
        <a:prstGeom prst="snipRoundRect">
          <a:avLst/>
        </a:prstGeom>
        <a:solidFill>
          <a:srgbClr val="2A9D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Shift Structure</a:t>
          </a:r>
        </a:p>
      </xdr:txBody>
    </xdr:sp>
    <xdr:clientData/>
  </xdr:twoCellAnchor>
  <xdr:twoCellAnchor>
    <xdr:from>
      <xdr:col>1</xdr:col>
      <xdr:colOff>4762</xdr:colOff>
      <xdr:row>32</xdr:row>
      <xdr:rowOff>166687</xdr:rowOff>
    </xdr:from>
    <xdr:to>
      <xdr:col>4</xdr:col>
      <xdr:colOff>19050</xdr:colOff>
      <xdr:row>37</xdr:row>
      <xdr:rowOff>185737</xdr:rowOff>
    </xdr:to>
    <xdr:sp macro="" textlink="">
      <xdr:nvSpPr>
        <xdr:cNvPr id="10" name="Rectangle: Top Corners One Rounded and One Snipped 9">
          <a:extLst>
            <a:ext uri="{FF2B5EF4-FFF2-40B4-BE49-F238E27FC236}">
              <a16:creationId xmlns:a16="http://schemas.microsoft.com/office/drawing/2014/main" id="{D34BD4F0-6C8A-4869-A070-4BA5DE80634B}"/>
            </a:ext>
          </a:extLst>
        </xdr:cNvPr>
        <xdr:cNvSpPr/>
      </xdr:nvSpPr>
      <xdr:spPr>
        <a:xfrm>
          <a:off x="614362" y="6262687"/>
          <a:ext cx="1843088" cy="971550"/>
        </a:xfrm>
        <a:prstGeom prst="snipRoundRect">
          <a:avLst/>
        </a:prstGeom>
        <a:solidFill>
          <a:srgbClr val="2A9D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Gender Composition</a:t>
          </a:r>
        </a:p>
      </xdr:txBody>
    </xdr:sp>
    <xdr:clientData/>
  </xdr:twoCellAnchor>
  <xdr:twoCellAnchor>
    <xdr:from>
      <xdr:col>5</xdr:col>
      <xdr:colOff>19050</xdr:colOff>
      <xdr:row>7</xdr:row>
      <xdr:rowOff>33338</xdr:rowOff>
    </xdr:from>
    <xdr:to>
      <xdr:col>26</xdr:col>
      <xdr:colOff>228600</xdr:colOff>
      <xdr:row>12</xdr:row>
      <xdr:rowOff>42863</xdr:rowOff>
    </xdr:to>
    <xdr:sp macro="" textlink="">
      <xdr:nvSpPr>
        <xdr:cNvPr id="11" name="Rectangle: Diagonal Corners Rounded 10">
          <a:extLst>
            <a:ext uri="{FF2B5EF4-FFF2-40B4-BE49-F238E27FC236}">
              <a16:creationId xmlns:a16="http://schemas.microsoft.com/office/drawing/2014/main" id="{1C029053-F4D1-2450-604D-847CC41CFB61}"/>
            </a:ext>
          </a:extLst>
        </xdr:cNvPr>
        <xdr:cNvSpPr/>
      </xdr:nvSpPr>
      <xdr:spPr>
        <a:xfrm>
          <a:off x="3067050" y="1366838"/>
          <a:ext cx="13011150" cy="962025"/>
        </a:xfrm>
        <a:prstGeom prst="round2DiagRect">
          <a:avLst/>
        </a:prstGeom>
        <a:solidFill>
          <a:srgbClr val="EAF4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00">
              <a:solidFill>
                <a:srgbClr val="24323D"/>
              </a:solidFill>
            </a:rPr>
            <a:t>Payroll has the highest employee turnover, with </a:t>
          </a:r>
          <a:r>
            <a:rPr lang="en-IN" sz="1900" b="1">
              <a:solidFill>
                <a:srgbClr val="24323D"/>
              </a:solidFill>
            </a:rPr>
            <a:t>4 of its 10 employees relieved</a:t>
          </a:r>
          <a:r>
            <a:rPr lang="en-IN" sz="1900">
              <a:solidFill>
                <a:srgbClr val="24323D"/>
              </a:solidFill>
            </a:rPr>
            <a:t>, representing a </a:t>
          </a:r>
          <a:r>
            <a:rPr lang="en-IN" sz="1900" b="1">
              <a:solidFill>
                <a:srgbClr val="24323D"/>
              </a:solidFill>
            </a:rPr>
            <a:t>40% relieved rate</a:t>
          </a:r>
          <a:r>
            <a:rPr lang="en-IN" sz="1900">
              <a:solidFill>
                <a:srgbClr val="24323D"/>
              </a:solidFill>
            </a:rPr>
            <a:t>.</a:t>
          </a:r>
          <a:r>
            <a:rPr lang="en-IN" sz="1900" baseline="0">
              <a:solidFill>
                <a:srgbClr val="24323D"/>
              </a:solidFill>
            </a:rPr>
            <a:t> </a:t>
          </a:r>
          <a:r>
            <a:rPr lang="en-IN" sz="1900">
              <a:solidFill>
                <a:srgbClr val="24323D"/>
              </a:solidFill>
            </a:rPr>
            <a:t>This makes Payroll the key department to monitor for employee retention and workforce stability.</a:t>
          </a:r>
        </a:p>
      </xdr:txBody>
    </xdr:sp>
    <xdr:clientData/>
  </xdr:twoCellAnchor>
  <xdr:twoCellAnchor>
    <xdr:from>
      <xdr:col>5</xdr:col>
      <xdr:colOff>19050</xdr:colOff>
      <xdr:row>13</xdr:row>
      <xdr:rowOff>123825</xdr:rowOff>
    </xdr:from>
    <xdr:to>
      <xdr:col>26</xdr:col>
      <xdr:colOff>228600</xdr:colOff>
      <xdr:row>18</xdr:row>
      <xdr:rowOff>133350</xdr:rowOff>
    </xdr:to>
    <xdr:sp macro="" textlink="">
      <xdr:nvSpPr>
        <xdr:cNvPr id="12" name="Rectangle: Diagonal Corners Rounded 11">
          <a:extLst>
            <a:ext uri="{FF2B5EF4-FFF2-40B4-BE49-F238E27FC236}">
              <a16:creationId xmlns:a16="http://schemas.microsoft.com/office/drawing/2014/main" id="{873D1360-2803-4376-8FC1-ABA5F3A0AE87}"/>
            </a:ext>
          </a:extLst>
        </xdr:cNvPr>
        <xdr:cNvSpPr/>
      </xdr:nvSpPr>
      <xdr:spPr>
        <a:xfrm>
          <a:off x="3067050" y="2600325"/>
          <a:ext cx="13011150" cy="962025"/>
        </a:xfrm>
        <a:prstGeom prst="round2DiagRect">
          <a:avLst/>
        </a:prstGeom>
        <a:solidFill>
          <a:srgbClr val="EAF4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00" b="0">
              <a:solidFill>
                <a:srgbClr val="24323D"/>
              </a:solidFill>
            </a:rPr>
            <a:t>54% of the workforce holds postgraduate qualifications, with Analytics having the strongest PG representation at 8 out of 10 employees.</a:t>
          </a:r>
          <a:r>
            <a:rPr lang="en-IN" sz="1900" b="0" baseline="0">
              <a:solidFill>
                <a:srgbClr val="24323D"/>
              </a:solidFill>
            </a:rPr>
            <a:t> </a:t>
          </a:r>
          <a:r>
            <a:rPr lang="en-IN" sz="1900" b="0">
              <a:solidFill>
                <a:srgbClr val="24323D"/>
              </a:solidFill>
            </a:rPr>
            <a:t>This indicates a highly qualified workforce, particularly within the Analytics department.</a:t>
          </a:r>
        </a:p>
      </xdr:txBody>
    </xdr:sp>
    <xdr:clientData/>
  </xdr:twoCellAnchor>
  <xdr:twoCellAnchor>
    <xdr:from>
      <xdr:col>5</xdr:col>
      <xdr:colOff>19050</xdr:colOff>
      <xdr:row>20</xdr:row>
      <xdr:rowOff>4763</xdr:rowOff>
    </xdr:from>
    <xdr:to>
      <xdr:col>26</xdr:col>
      <xdr:colOff>228600</xdr:colOff>
      <xdr:row>25</xdr:row>
      <xdr:rowOff>14288</xdr:rowOff>
    </xdr:to>
    <xdr:sp macro="" textlink="">
      <xdr:nvSpPr>
        <xdr:cNvPr id="13" name="Rectangle: Diagonal Corners Rounded 12">
          <a:extLst>
            <a:ext uri="{FF2B5EF4-FFF2-40B4-BE49-F238E27FC236}">
              <a16:creationId xmlns:a16="http://schemas.microsoft.com/office/drawing/2014/main" id="{C666271F-860B-46FF-94E7-8F6B2D21868F}"/>
            </a:ext>
          </a:extLst>
        </xdr:cNvPr>
        <xdr:cNvSpPr/>
      </xdr:nvSpPr>
      <xdr:spPr>
        <a:xfrm>
          <a:off x="3067050" y="3814763"/>
          <a:ext cx="13011150" cy="962025"/>
        </a:xfrm>
        <a:prstGeom prst="round2DiagRect">
          <a:avLst/>
        </a:prstGeom>
        <a:solidFill>
          <a:srgbClr val="EAF4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00" b="1">
              <a:solidFill>
                <a:srgbClr val="24323D"/>
              </a:solidFill>
            </a:rPr>
            <a:t>Chennai and Bangalore together account for 23 of the 50 employees</a:t>
          </a:r>
          <a:r>
            <a:rPr lang="en-IN" sz="1900">
              <a:solidFill>
                <a:srgbClr val="24323D"/>
              </a:solidFill>
            </a:rPr>
            <a:t>, representing </a:t>
          </a:r>
          <a:r>
            <a:rPr lang="en-IN" sz="1900" b="1">
              <a:solidFill>
                <a:srgbClr val="24323D"/>
              </a:solidFill>
            </a:rPr>
            <a:t>46% of the total workforce</a:t>
          </a:r>
          <a:r>
            <a:rPr lang="en-IN" sz="1900">
              <a:solidFill>
                <a:srgbClr val="24323D"/>
              </a:solidFill>
            </a:rPr>
            <a:t>.</a:t>
          </a:r>
          <a:br>
            <a:rPr lang="en-IN" sz="1900">
              <a:solidFill>
                <a:srgbClr val="24323D"/>
              </a:solidFill>
            </a:rPr>
          </a:br>
          <a:r>
            <a:rPr lang="en-IN" sz="1900">
              <a:solidFill>
                <a:srgbClr val="24323D"/>
              </a:solidFill>
            </a:rPr>
            <a:t>These two locations therefore have the largest workforce concentration and may require greater workforce and facility planning.</a:t>
          </a:r>
        </a:p>
      </xdr:txBody>
    </xdr:sp>
    <xdr:clientData/>
  </xdr:twoCellAnchor>
  <xdr:twoCellAnchor>
    <xdr:from>
      <xdr:col>5</xdr:col>
      <xdr:colOff>19050</xdr:colOff>
      <xdr:row>26</xdr:row>
      <xdr:rowOff>114300</xdr:rowOff>
    </xdr:from>
    <xdr:to>
      <xdr:col>26</xdr:col>
      <xdr:colOff>228600</xdr:colOff>
      <xdr:row>31</xdr:row>
      <xdr:rowOff>123825</xdr:rowOff>
    </xdr:to>
    <xdr:sp macro="" textlink="">
      <xdr:nvSpPr>
        <xdr:cNvPr id="14" name="Rectangle: Diagonal Corners Rounded 13">
          <a:extLst>
            <a:ext uri="{FF2B5EF4-FFF2-40B4-BE49-F238E27FC236}">
              <a16:creationId xmlns:a16="http://schemas.microsoft.com/office/drawing/2014/main" id="{07F27FCF-EA96-4FA3-9FAC-8344412D2401}"/>
            </a:ext>
          </a:extLst>
        </xdr:cNvPr>
        <xdr:cNvSpPr/>
      </xdr:nvSpPr>
      <xdr:spPr>
        <a:xfrm>
          <a:off x="3067050" y="5067300"/>
          <a:ext cx="13011150" cy="962025"/>
        </a:xfrm>
        <a:prstGeom prst="round2DiagRect">
          <a:avLst/>
        </a:prstGeom>
        <a:solidFill>
          <a:srgbClr val="EAF4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00" b="1">
              <a:solidFill>
                <a:srgbClr val="24323D"/>
              </a:solidFill>
            </a:rPr>
            <a:t>50% of employees work in the Day shift</a:t>
          </a:r>
          <a:r>
            <a:rPr lang="en-IN" sz="1900">
              <a:solidFill>
                <a:srgbClr val="24323D"/>
              </a:solidFill>
            </a:rPr>
            <a:t>, while </a:t>
          </a:r>
          <a:r>
            <a:rPr lang="en-IN" sz="1900" b="1">
              <a:solidFill>
                <a:srgbClr val="24323D"/>
              </a:solidFill>
            </a:rPr>
            <a:t>16% work in the Night shift</a:t>
          </a:r>
          <a:r>
            <a:rPr lang="en-IN" sz="1900">
              <a:solidFill>
                <a:srgbClr val="24323D"/>
              </a:solidFill>
            </a:rPr>
            <a:t>.</a:t>
          </a:r>
          <a:r>
            <a:rPr lang="en-IN" sz="1900" baseline="0">
              <a:solidFill>
                <a:srgbClr val="24323D"/>
              </a:solidFill>
            </a:rPr>
            <a:t> </a:t>
          </a:r>
          <a:r>
            <a:rPr lang="en-IN" sz="1900">
              <a:solidFill>
                <a:srgbClr val="24323D"/>
              </a:solidFill>
            </a:rPr>
            <a:t>The relatively smaller Night-shift workforce still requires appropriate staffing, transportation, and operational support.</a:t>
          </a:r>
        </a:p>
      </xdr:txBody>
    </xdr:sp>
    <xdr:clientData/>
  </xdr:twoCellAnchor>
  <xdr:twoCellAnchor>
    <xdr:from>
      <xdr:col>5</xdr:col>
      <xdr:colOff>19050</xdr:colOff>
      <xdr:row>32</xdr:row>
      <xdr:rowOff>171450</xdr:rowOff>
    </xdr:from>
    <xdr:to>
      <xdr:col>26</xdr:col>
      <xdr:colOff>228600</xdr:colOff>
      <xdr:row>37</xdr:row>
      <xdr:rowOff>180975</xdr:rowOff>
    </xdr:to>
    <xdr:sp macro="" textlink="">
      <xdr:nvSpPr>
        <xdr:cNvPr id="15" name="Rectangle: Diagonal Corners Rounded 14">
          <a:extLst>
            <a:ext uri="{FF2B5EF4-FFF2-40B4-BE49-F238E27FC236}">
              <a16:creationId xmlns:a16="http://schemas.microsoft.com/office/drawing/2014/main" id="{3A65ACBF-9053-4286-A1C8-E51F12AE6368}"/>
            </a:ext>
          </a:extLst>
        </xdr:cNvPr>
        <xdr:cNvSpPr/>
      </xdr:nvSpPr>
      <xdr:spPr>
        <a:xfrm>
          <a:off x="3067050" y="6267450"/>
          <a:ext cx="13011150" cy="962025"/>
        </a:xfrm>
        <a:prstGeom prst="round2DiagRect">
          <a:avLst/>
        </a:prstGeom>
        <a:solidFill>
          <a:srgbClr val="EAF4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900">
              <a:solidFill>
                <a:srgbClr val="24323D"/>
              </a:solidFill>
            </a:rPr>
            <a:t>Female employees represent </a:t>
          </a:r>
          <a:r>
            <a:rPr lang="en-IN" sz="1900" b="1">
              <a:solidFill>
                <a:srgbClr val="24323D"/>
              </a:solidFill>
            </a:rPr>
            <a:t>24% of the total workforce</a:t>
          </a:r>
          <a:r>
            <a:rPr lang="en-IN" sz="1900">
              <a:solidFill>
                <a:srgbClr val="24323D"/>
              </a:solidFill>
            </a:rPr>
            <a:t>, compared with </a:t>
          </a:r>
          <a:r>
            <a:rPr lang="en-IN" sz="1900" b="1">
              <a:solidFill>
                <a:srgbClr val="24323D"/>
              </a:solidFill>
            </a:rPr>
            <a:t>76% male employees</a:t>
          </a:r>
          <a:r>
            <a:rPr lang="en-IN" sz="1900">
              <a:solidFill>
                <a:srgbClr val="24323D"/>
              </a:solidFill>
            </a:rPr>
            <a:t>.</a:t>
          </a:r>
          <a:br>
            <a:rPr lang="en-IN" sz="1900">
              <a:solidFill>
                <a:srgbClr val="24323D"/>
              </a:solidFill>
            </a:rPr>
          </a:br>
          <a:r>
            <a:rPr lang="en-IN" sz="1900">
              <a:solidFill>
                <a:srgbClr val="24323D"/>
              </a:solidFill>
            </a:rPr>
            <a:t>This provides management with a baseline for monitoring gender representation across departments and locations.</a:t>
          </a:r>
        </a:p>
      </xdr:txBody>
    </xdr:sp>
    <xdr:clientData/>
  </xdr:twoCellAnchor>
  <xdr:twoCellAnchor>
    <xdr:from>
      <xdr:col>1</xdr:col>
      <xdr:colOff>0</xdr:colOff>
      <xdr:row>1</xdr:row>
      <xdr:rowOff>0</xdr:rowOff>
    </xdr:from>
    <xdr:to>
      <xdr:col>26</xdr:col>
      <xdr:colOff>238125</xdr:colOff>
      <xdr:row>6</xdr:row>
      <xdr:rowOff>0</xdr:rowOff>
    </xdr:to>
    <xdr:sp macro="" textlink="">
      <xdr:nvSpPr>
        <xdr:cNvPr id="17" name="Rectangle 16">
          <a:extLst>
            <a:ext uri="{FF2B5EF4-FFF2-40B4-BE49-F238E27FC236}">
              <a16:creationId xmlns:a16="http://schemas.microsoft.com/office/drawing/2014/main" id="{8D7E69D7-206D-F3F7-E042-3280B519EBD7}"/>
            </a:ext>
          </a:extLst>
        </xdr:cNvPr>
        <xdr:cNvSpPr/>
      </xdr:nvSpPr>
      <xdr:spPr>
        <a:xfrm>
          <a:off x="609600" y="190500"/>
          <a:ext cx="15478125" cy="952500"/>
        </a:xfrm>
        <a:prstGeom prst="rect">
          <a:avLst/>
        </a:prstGeom>
        <a:solidFill>
          <a:srgbClr val="0F4C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FFFFFF"/>
              </a:solidFill>
            </a:rPr>
            <a:t>BUSINESS INSIGHTS</a:t>
          </a:r>
          <a:r>
            <a:rPr lang="en-IN" sz="3200" b="1" baseline="0">
              <a:solidFill>
                <a:srgbClr val="FFFFFF"/>
              </a:solidFill>
            </a:rPr>
            <a:t> FOR EMPLOYEE WORKFORCE</a:t>
          </a:r>
          <a:endParaRPr lang="en-IN" sz="3200" b="1">
            <a:solidFill>
              <a:srgbClr val="FFFFFF"/>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76199</xdr:colOff>
      <xdr:row>8</xdr:row>
      <xdr:rowOff>100011</xdr:rowOff>
    </xdr:from>
    <xdr:to>
      <xdr:col>4</xdr:col>
      <xdr:colOff>619125</xdr:colOff>
      <xdr:row>23</xdr:row>
      <xdr:rowOff>85724</xdr:rowOff>
    </xdr:to>
    <xdr:graphicFrame macro="">
      <xdr:nvGraphicFramePr>
        <xdr:cNvPr id="3" name="Chart 2">
          <a:extLst>
            <a:ext uri="{FF2B5EF4-FFF2-40B4-BE49-F238E27FC236}">
              <a16:creationId xmlns:a16="http://schemas.microsoft.com/office/drawing/2014/main" id="{1D050274-702C-49A4-99A7-037BF300E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695325</xdr:colOff>
      <xdr:row>8</xdr:row>
      <xdr:rowOff>109536</xdr:rowOff>
    </xdr:from>
    <xdr:to>
      <xdr:col>9</xdr:col>
      <xdr:colOff>485775</xdr:colOff>
      <xdr:row>23</xdr:row>
      <xdr:rowOff>95249</xdr:rowOff>
    </xdr:to>
    <xdr:graphicFrame macro="">
      <xdr:nvGraphicFramePr>
        <xdr:cNvPr id="2" name="Chart 1">
          <a:extLst>
            <a:ext uri="{FF2B5EF4-FFF2-40B4-BE49-F238E27FC236}">
              <a16:creationId xmlns:a16="http://schemas.microsoft.com/office/drawing/2014/main" id="{EBFA6892-126D-44EB-CC3E-B31664132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552450</xdr:colOff>
      <xdr:row>4</xdr:row>
      <xdr:rowOff>185737</xdr:rowOff>
    </xdr:from>
    <xdr:to>
      <xdr:col>13</xdr:col>
      <xdr:colOff>219075</xdr:colOff>
      <xdr:row>19</xdr:row>
      <xdr:rowOff>71437</xdr:rowOff>
    </xdr:to>
    <xdr:graphicFrame macro="">
      <xdr:nvGraphicFramePr>
        <xdr:cNvPr id="5" name="Chart 4">
          <a:extLst>
            <a:ext uri="{FF2B5EF4-FFF2-40B4-BE49-F238E27FC236}">
              <a16:creationId xmlns:a16="http://schemas.microsoft.com/office/drawing/2014/main" id="{ED7827CE-6007-F45B-8B3B-2B954FF26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523875</xdr:colOff>
      <xdr:row>6</xdr:row>
      <xdr:rowOff>119062</xdr:rowOff>
    </xdr:from>
    <xdr:to>
      <xdr:col>18</xdr:col>
      <xdr:colOff>238125</xdr:colOff>
      <xdr:row>17</xdr:row>
      <xdr:rowOff>180975</xdr:rowOff>
    </xdr:to>
    <xdr:graphicFrame macro="">
      <xdr:nvGraphicFramePr>
        <xdr:cNvPr id="6" name="Chart 5">
          <a:extLst>
            <a:ext uri="{FF2B5EF4-FFF2-40B4-BE49-F238E27FC236}">
              <a16:creationId xmlns:a16="http://schemas.microsoft.com/office/drawing/2014/main" id="{5A2A95F0-312E-45A6-6435-3ED3632E6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523876</xdr:colOff>
      <xdr:row>24</xdr:row>
      <xdr:rowOff>52387</xdr:rowOff>
    </xdr:from>
    <xdr:to>
      <xdr:col>6</xdr:col>
      <xdr:colOff>142876</xdr:colOff>
      <xdr:row>36</xdr:row>
      <xdr:rowOff>66675</xdr:rowOff>
    </xdr:to>
    <xdr:graphicFrame macro="">
      <xdr:nvGraphicFramePr>
        <xdr:cNvPr id="8" name="Chart 7">
          <a:extLst>
            <a:ext uri="{FF2B5EF4-FFF2-40B4-BE49-F238E27FC236}">
              <a16:creationId xmlns:a16="http://schemas.microsoft.com/office/drawing/2014/main" id="{C041E895-1E45-9A0A-2EF5-83E832CAA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266700</xdr:colOff>
      <xdr:row>24</xdr:row>
      <xdr:rowOff>9526</xdr:rowOff>
    </xdr:from>
    <xdr:to>
      <xdr:col>8</xdr:col>
      <xdr:colOff>95250</xdr:colOff>
      <xdr:row>30</xdr:row>
      <xdr:rowOff>28576</xdr:rowOff>
    </xdr:to>
    <mc:AlternateContent xmlns:mc="http://schemas.openxmlformats.org/markup-compatibility/2006" xmlns:a14="http://schemas.microsoft.com/office/drawing/2010/main">
      <mc:Choice Requires="a14">
        <xdr:graphicFrame macro="">
          <xdr:nvGraphicFramePr>
            <xdr:cNvPr id="9" name="Payroll Month">
              <a:extLst>
                <a:ext uri="{FF2B5EF4-FFF2-40B4-BE49-F238E27FC236}">
                  <a16:creationId xmlns:a16="http://schemas.microsoft.com/office/drawing/2014/main" id="{2AF3C5D5-F270-1BE5-5BAB-9A943F462432}"/>
                </a:ext>
              </a:extLst>
            </xdr:cNvPr>
            <xdr:cNvGraphicFramePr/>
          </xdr:nvGraphicFramePr>
          <xdr:xfrm>
            <a:off x="0" y="0"/>
            <a:ext cx="0" cy="0"/>
          </xdr:xfrm>
          <a:graphic>
            <a:graphicData uri="http://schemas.microsoft.com/office/drawing/2010/slicer">
              <sle:slicer xmlns:sle="http://schemas.microsoft.com/office/drawing/2010/slicer" name="Payroll Month"/>
            </a:graphicData>
          </a:graphic>
        </xdr:graphicFrame>
      </mc:Choice>
      <mc:Fallback xmlns="">
        <xdr:sp macro="" textlink="">
          <xdr:nvSpPr>
            <xdr:cNvPr id="0" name=""/>
            <xdr:cNvSpPr>
              <a:spLocks noTextEdit="1"/>
            </xdr:cNvSpPr>
          </xdr:nvSpPr>
          <xdr:spPr>
            <a:xfrm>
              <a:off x="5943600" y="4581526"/>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30</xdr:row>
      <xdr:rowOff>38100</xdr:rowOff>
    </xdr:from>
    <xdr:to>
      <xdr:col>8</xdr:col>
      <xdr:colOff>123825</xdr:colOff>
      <xdr:row>39</xdr:row>
      <xdr:rowOff>57150</xdr:rowOff>
    </xdr:to>
    <mc:AlternateContent xmlns:mc="http://schemas.openxmlformats.org/markup-compatibility/2006" xmlns:a14="http://schemas.microsoft.com/office/drawing/2010/main">
      <mc:Choice Requires="a14">
        <xdr:graphicFrame macro="">
          <xdr:nvGraphicFramePr>
            <xdr:cNvPr id="10" name="Department 2">
              <a:extLst>
                <a:ext uri="{FF2B5EF4-FFF2-40B4-BE49-F238E27FC236}">
                  <a16:creationId xmlns:a16="http://schemas.microsoft.com/office/drawing/2014/main" id="{7BA874F8-C58F-9B58-7929-B5F65B9B198A}"/>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5972175" y="5753100"/>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xdr:colOff>
      <xdr:row>24</xdr:row>
      <xdr:rowOff>76200</xdr:rowOff>
    </xdr:from>
    <xdr:to>
      <xdr:col>10</xdr:col>
      <xdr:colOff>561975</xdr:colOff>
      <xdr:row>33</xdr:row>
      <xdr:rowOff>66675</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B8208C54-0762-AAAA-FCBE-5481C951168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772400" y="4648200"/>
              <a:ext cx="182880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333375</xdr:colOff>
      <xdr:row>24</xdr:row>
      <xdr:rowOff>90487</xdr:rowOff>
    </xdr:from>
    <xdr:to>
      <xdr:col>15</xdr:col>
      <xdr:colOff>47625</xdr:colOff>
      <xdr:row>38</xdr:row>
      <xdr:rowOff>166687</xdr:rowOff>
    </xdr:to>
    <xdr:graphicFrame macro="">
      <xdr:nvGraphicFramePr>
        <xdr:cNvPr id="7" name="Chart 6">
          <a:extLst>
            <a:ext uri="{FF2B5EF4-FFF2-40B4-BE49-F238E27FC236}">
              <a16:creationId xmlns:a16="http://schemas.microsoft.com/office/drawing/2014/main" id="{E1123C13-C21A-F8A2-2099-8643D73D6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0</xdr:row>
      <xdr:rowOff>47625</xdr:rowOff>
    </xdr:from>
    <xdr:to>
      <xdr:col>27</xdr:col>
      <xdr:colOff>371475</xdr:colOff>
      <xdr:row>4</xdr:row>
      <xdr:rowOff>114300</xdr:rowOff>
    </xdr:to>
    <xdr:sp macro="" textlink="">
      <xdr:nvSpPr>
        <xdr:cNvPr id="2" name="Rectangle: Diagonal Corners Rounded 1">
          <a:extLst>
            <a:ext uri="{FF2B5EF4-FFF2-40B4-BE49-F238E27FC236}">
              <a16:creationId xmlns:a16="http://schemas.microsoft.com/office/drawing/2014/main" id="{64FF76D6-6BC3-BD35-710C-FC5E2F586DCE}"/>
            </a:ext>
          </a:extLst>
        </xdr:cNvPr>
        <xdr:cNvSpPr/>
      </xdr:nvSpPr>
      <xdr:spPr>
        <a:xfrm>
          <a:off x="57151" y="47625"/>
          <a:ext cx="16773524" cy="828675"/>
        </a:xfrm>
        <a:prstGeom prst="round2DiagRect">
          <a:avLst/>
        </a:prstGeom>
        <a:solidFill>
          <a:srgbClr val="0F172A"/>
        </a:solidFill>
        <a:ln>
          <a:solidFill>
            <a:schemeClr val="accent1">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3600" b="1">
              <a:solidFill>
                <a:srgbClr val="FFFFFF"/>
              </a:solidFill>
              <a:effectLst>
                <a:outerShdw blurRad="38100" dist="22860" dir="5400000" algn="tl" rotWithShape="0">
                  <a:srgbClr val="000000">
                    <a:alpha val="30000"/>
                  </a:srgbClr>
                </a:outerShdw>
              </a:effectLst>
              <a:latin typeface="Aptos Display Semibold"/>
              <a:ea typeface="+mn-ea"/>
              <a:cs typeface="Segoe UI Semibold" panose="020B0702040204020203" pitchFamily="34" charset="0"/>
            </a:rPr>
            <a:t>ASG INDIA PRIVATE LIMITED</a:t>
          </a:r>
          <a:r>
            <a:rPr lang="en-IN" sz="3600" b="1" baseline="0">
              <a:solidFill>
                <a:srgbClr val="FFFFFF"/>
              </a:solidFill>
              <a:effectLst>
                <a:outerShdw blurRad="38100" dist="22860" dir="5400000" algn="tl" rotWithShape="0">
                  <a:srgbClr val="000000">
                    <a:alpha val="30000"/>
                  </a:srgbClr>
                </a:outerShdw>
              </a:effectLst>
              <a:latin typeface="Aptos Display Semibold"/>
              <a:ea typeface="+mn-ea"/>
              <a:cs typeface="Segoe UI Semibold" panose="020B0702040204020203" pitchFamily="34" charset="0"/>
            </a:rPr>
            <a:t> - PAYROLL ANALYTICS DASHBOARD</a:t>
          </a:r>
          <a:endParaRPr lang="en-IN" sz="3600">
            <a:solidFill>
              <a:srgbClr val="FFFFFF"/>
            </a:solidFill>
            <a:latin typeface="Aptos Display Semibold"/>
            <a:cs typeface="Segoe UI Semibold" panose="020B0702040204020203" pitchFamily="34" charset="0"/>
          </a:endParaRPr>
        </a:p>
      </xdr:txBody>
    </xdr:sp>
    <xdr:clientData/>
  </xdr:twoCellAnchor>
  <xdr:twoCellAnchor>
    <xdr:from>
      <xdr:col>0</xdr:col>
      <xdr:colOff>76200</xdr:colOff>
      <xdr:row>5</xdr:row>
      <xdr:rowOff>9525</xdr:rowOff>
    </xdr:from>
    <xdr:to>
      <xdr:col>4</xdr:col>
      <xdr:colOff>371475</xdr:colOff>
      <xdr:row>9</xdr:row>
      <xdr:rowOff>19050</xdr:rowOff>
    </xdr:to>
    <xdr:sp macro="" textlink="">
      <xdr:nvSpPr>
        <xdr:cNvPr id="3" name="Rectangle: Top Corners Rounded 2">
          <a:extLst>
            <a:ext uri="{FF2B5EF4-FFF2-40B4-BE49-F238E27FC236}">
              <a16:creationId xmlns:a16="http://schemas.microsoft.com/office/drawing/2014/main" id="{122FE96F-574E-CC7A-3519-522C18C91B8B}"/>
            </a:ext>
          </a:extLst>
        </xdr:cNvPr>
        <xdr:cNvSpPr/>
      </xdr:nvSpPr>
      <xdr:spPr>
        <a:xfrm>
          <a:off x="76200" y="962025"/>
          <a:ext cx="2733675" cy="771525"/>
        </a:xfrm>
        <a:prstGeom prst="round2Same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rPr>
            <a:t>Total Payroll Cost</a:t>
          </a:r>
        </a:p>
        <a:p>
          <a:pPr algn="ctr"/>
          <a:endParaRPr lang="en-IN" sz="1400" b="1">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endParaRPr>
        </a:p>
      </xdr:txBody>
    </xdr:sp>
    <xdr:clientData/>
  </xdr:twoCellAnchor>
  <xdr:twoCellAnchor>
    <xdr:from>
      <xdr:col>4</xdr:col>
      <xdr:colOff>438150</xdr:colOff>
      <xdr:row>5</xdr:row>
      <xdr:rowOff>9525</xdr:rowOff>
    </xdr:from>
    <xdr:to>
      <xdr:col>9</xdr:col>
      <xdr:colOff>123825</xdr:colOff>
      <xdr:row>9</xdr:row>
      <xdr:rowOff>19050</xdr:rowOff>
    </xdr:to>
    <xdr:sp macro="" textlink="">
      <xdr:nvSpPr>
        <xdr:cNvPr id="5" name="Rectangle: Top Corners Rounded 4">
          <a:extLst>
            <a:ext uri="{FF2B5EF4-FFF2-40B4-BE49-F238E27FC236}">
              <a16:creationId xmlns:a16="http://schemas.microsoft.com/office/drawing/2014/main" id="{3D53D1E8-3CFA-AB2C-35DB-425DE2450DD5}"/>
            </a:ext>
          </a:extLst>
        </xdr:cNvPr>
        <xdr:cNvSpPr/>
      </xdr:nvSpPr>
      <xdr:spPr>
        <a:xfrm>
          <a:off x="2876550" y="962025"/>
          <a:ext cx="2733675" cy="771525"/>
        </a:xfrm>
        <a:prstGeom prst="round2Same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2E8F0"/>
              </a:solidFill>
              <a:effectLst/>
              <a:latin typeface="Segoe UI Semibold" panose="020B0702040204020203" pitchFamily="34" charset="0"/>
              <a:ea typeface="Cascadia Code SemiBold" panose="020B0609020000020004" pitchFamily="49" charset="0"/>
              <a:cs typeface="Segoe UI Semibold" panose="020B0702040204020203" pitchFamily="34" charset="0"/>
            </a:rPr>
            <a:t>Gross Salary Paid</a:t>
          </a:r>
          <a:endParaRPr lang="en-IN" sz="1400" b="1">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endParaRPr>
        </a:p>
      </xdr:txBody>
    </xdr:sp>
    <xdr:clientData/>
  </xdr:twoCellAnchor>
  <xdr:twoCellAnchor>
    <xdr:from>
      <xdr:col>9</xdr:col>
      <xdr:colOff>190500</xdr:colOff>
      <xdr:row>5</xdr:row>
      <xdr:rowOff>9525</xdr:rowOff>
    </xdr:from>
    <xdr:to>
      <xdr:col>13</xdr:col>
      <xdr:colOff>485775</xdr:colOff>
      <xdr:row>9</xdr:row>
      <xdr:rowOff>19050</xdr:rowOff>
    </xdr:to>
    <xdr:sp macro="" textlink="">
      <xdr:nvSpPr>
        <xdr:cNvPr id="6" name="Rectangle: Top Corners Rounded 5">
          <a:extLst>
            <a:ext uri="{FF2B5EF4-FFF2-40B4-BE49-F238E27FC236}">
              <a16:creationId xmlns:a16="http://schemas.microsoft.com/office/drawing/2014/main" id="{CC4B0471-0FC2-1AA4-5A6E-375DBA51FA53}"/>
            </a:ext>
          </a:extLst>
        </xdr:cNvPr>
        <xdr:cNvSpPr/>
      </xdr:nvSpPr>
      <xdr:spPr>
        <a:xfrm>
          <a:off x="5676900" y="962025"/>
          <a:ext cx="2733675" cy="771525"/>
        </a:xfrm>
        <a:prstGeom prst="round2Same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rPr>
            <a:t>Total OT Hours</a:t>
          </a:r>
        </a:p>
      </xdr:txBody>
    </xdr:sp>
    <xdr:clientData/>
  </xdr:twoCellAnchor>
  <xdr:twoCellAnchor>
    <xdr:from>
      <xdr:col>13</xdr:col>
      <xdr:colOff>552450</xdr:colOff>
      <xdr:row>5</xdr:row>
      <xdr:rowOff>9525</xdr:rowOff>
    </xdr:from>
    <xdr:to>
      <xdr:col>18</xdr:col>
      <xdr:colOff>238125</xdr:colOff>
      <xdr:row>9</xdr:row>
      <xdr:rowOff>19050</xdr:rowOff>
    </xdr:to>
    <xdr:sp macro="" textlink="">
      <xdr:nvSpPr>
        <xdr:cNvPr id="7" name="Rectangle: Top Corners Rounded 6">
          <a:extLst>
            <a:ext uri="{FF2B5EF4-FFF2-40B4-BE49-F238E27FC236}">
              <a16:creationId xmlns:a16="http://schemas.microsoft.com/office/drawing/2014/main" id="{CF455CEB-BFBB-B152-E90B-6443B3BF6DDC}"/>
            </a:ext>
          </a:extLst>
        </xdr:cNvPr>
        <xdr:cNvSpPr/>
      </xdr:nvSpPr>
      <xdr:spPr>
        <a:xfrm>
          <a:off x="8477250" y="962025"/>
          <a:ext cx="2733675" cy="771525"/>
        </a:xfrm>
        <a:prstGeom prst="round2Same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rPr>
            <a:t>Total LOP Days</a:t>
          </a:r>
        </a:p>
      </xdr:txBody>
    </xdr:sp>
    <xdr:clientData/>
  </xdr:twoCellAnchor>
  <xdr:twoCellAnchor>
    <xdr:from>
      <xdr:col>18</xdr:col>
      <xdr:colOff>314325</xdr:colOff>
      <xdr:row>5</xdr:row>
      <xdr:rowOff>9525</xdr:rowOff>
    </xdr:from>
    <xdr:to>
      <xdr:col>23</xdr:col>
      <xdr:colOff>0</xdr:colOff>
      <xdr:row>9</xdr:row>
      <xdr:rowOff>19050</xdr:rowOff>
    </xdr:to>
    <xdr:sp macro="" textlink="">
      <xdr:nvSpPr>
        <xdr:cNvPr id="8" name="Rectangle: Top Corners Rounded 7">
          <a:extLst>
            <a:ext uri="{FF2B5EF4-FFF2-40B4-BE49-F238E27FC236}">
              <a16:creationId xmlns:a16="http://schemas.microsoft.com/office/drawing/2014/main" id="{A535E076-2982-D253-BB29-372D1E86FD31}"/>
            </a:ext>
          </a:extLst>
        </xdr:cNvPr>
        <xdr:cNvSpPr/>
      </xdr:nvSpPr>
      <xdr:spPr>
        <a:xfrm>
          <a:off x="11287125" y="962025"/>
          <a:ext cx="2733675" cy="771525"/>
        </a:xfrm>
        <a:prstGeom prst="round2Same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rPr>
            <a:t>Costliest Location</a:t>
          </a:r>
        </a:p>
      </xdr:txBody>
    </xdr:sp>
    <xdr:clientData/>
  </xdr:twoCellAnchor>
  <xdr:twoCellAnchor>
    <xdr:from>
      <xdr:col>23</xdr:col>
      <xdr:colOff>66675</xdr:colOff>
      <xdr:row>5</xdr:row>
      <xdr:rowOff>9525</xdr:rowOff>
    </xdr:from>
    <xdr:to>
      <xdr:col>27</xdr:col>
      <xdr:colOff>361950</xdr:colOff>
      <xdr:row>9</xdr:row>
      <xdr:rowOff>19050</xdr:rowOff>
    </xdr:to>
    <xdr:sp macro="" textlink="">
      <xdr:nvSpPr>
        <xdr:cNvPr id="9" name="Rectangle: Top Corners Rounded 8">
          <a:extLst>
            <a:ext uri="{FF2B5EF4-FFF2-40B4-BE49-F238E27FC236}">
              <a16:creationId xmlns:a16="http://schemas.microsoft.com/office/drawing/2014/main" id="{FEC5ADD8-9FB6-542E-1647-AA39DADE58F6}"/>
            </a:ext>
          </a:extLst>
        </xdr:cNvPr>
        <xdr:cNvSpPr/>
      </xdr:nvSpPr>
      <xdr:spPr>
        <a:xfrm>
          <a:off x="14087475" y="962025"/>
          <a:ext cx="2733675" cy="771525"/>
        </a:xfrm>
        <a:prstGeom prst="round2Same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rPr>
            <a:t>Costliest</a:t>
          </a:r>
          <a:r>
            <a:rPr lang="en-IN" sz="1400" baseline="0">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rPr>
            <a:t> Department</a:t>
          </a:r>
          <a:endParaRPr lang="en-IN" sz="1400">
            <a:solidFill>
              <a:srgbClr val="E2E8F0"/>
            </a:solidFill>
            <a:latin typeface="Segoe UI Semibold" panose="020B0702040204020203" pitchFamily="34" charset="0"/>
            <a:ea typeface="Cascadia Code SemiBold" panose="020B0609020000020004" pitchFamily="49" charset="0"/>
            <a:cs typeface="Segoe UI Semibold" panose="020B0702040204020203" pitchFamily="34" charset="0"/>
          </a:endParaRPr>
        </a:p>
      </xdr:txBody>
    </xdr:sp>
    <xdr:clientData/>
  </xdr:twoCellAnchor>
  <xdr:twoCellAnchor editAs="oneCell">
    <xdr:from>
      <xdr:col>2</xdr:col>
      <xdr:colOff>190500</xdr:colOff>
      <xdr:row>0</xdr:row>
      <xdr:rowOff>47624</xdr:rowOff>
    </xdr:from>
    <xdr:to>
      <xdr:col>3</xdr:col>
      <xdr:colOff>504825</xdr:colOff>
      <xdr:row>5</xdr:row>
      <xdr:rowOff>19049</xdr:rowOff>
    </xdr:to>
    <xdr:pic>
      <xdr:nvPicPr>
        <xdr:cNvPr id="10" name="Picture 9">
          <a:extLst>
            <a:ext uri="{FF2B5EF4-FFF2-40B4-BE49-F238E27FC236}">
              <a16:creationId xmlns:a16="http://schemas.microsoft.com/office/drawing/2014/main" id="{51E6907D-DD5C-477C-9AB2-3E6EB3B7819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09700" y="47624"/>
          <a:ext cx="923925" cy="923925"/>
        </a:xfrm>
        <a:prstGeom prst="rect">
          <a:avLst/>
        </a:prstGeom>
      </xdr:spPr>
    </xdr:pic>
    <xdr:clientData/>
  </xdr:twoCellAnchor>
  <xdr:twoCellAnchor editAs="oneCell">
    <xdr:from>
      <xdr:col>0</xdr:col>
      <xdr:colOff>76200</xdr:colOff>
      <xdr:row>9</xdr:row>
      <xdr:rowOff>114301</xdr:rowOff>
    </xdr:from>
    <xdr:to>
      <xdr:col>3</xdr:col>
      <xdr:colOff>76200</xdr:colOff>
      <xdr:row>15</xdr:row>
      <xdr:rowOff>133351</xdr:rowOff>
    </xdr:to>
    <mc:AlternateContent xmlns:mc="http://schemas.openxmlformats.org/markup-compatibility/2006" xmlns:a14="http://schemas.microsoft.com/office/drawing/2010/main">
      <mc:Choice Requires="a14">
        <xdr:graphicFrame macro="">
          <xdr:nvGraphicFramePr>
            <xdr:cNvPr id="11" name="Payroll Month 1">
              <a:extLst>
                <a:ext uri="{FF2B5EF4-FFF2-40B4-BE49-F238E27FC236}">
                  <a16:creationId xmlns:a16="http://schemas.microsoft.com/office/drawing/2014/main" id="{ADE992D2-DDB3-429A-9E32-5EE42A0F06EF}"/>
                </a:ext>
              </a:extLst>
            </xdr:cNvPr>
            <xdr:cNvGraphicFramePr/>
          </xdr:nvGraphicFramePr>
          <xdr:xfrm>
            <a:off x="0" y="0"/>
            <a:ext cx="0" cy="0"/>
          </xdr:xfrm>
          <a:graphic>
            <a:graphicData uri="http://schemas.microsoft.com/office/drawing/2010/slicer">
              <sle:slicer xmlns:sle="http://schemas.microsoft.com/office/drawing/2010/slicer" name="Payroll Month 1"/>
            </a:graphicData>
          </a:graphic>
        </xdr:graphicFrame>
      </mc:Choice>
      <mc:Fallback xmlns="">
        <xdr:sp macro="" textlink="">
          <xdr:nvSpPr>
            <xdr:cNvPr id="0" name=""/>
            <xdr:cNvSpPr>
              <a:spLocks noTextEdit="1"/>
            </xdr:cNvSpPr>
          </xdr:nvSpPr>
          <xdr:spPr>
            <a:xfrm>
              <a:off x="76200" y="18288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19</xdr:row>
      <xdr:rowOff>57150</xdr:rowOff>
    </xdr:from>
    <xdr:to>
      <xdr:col>3</xdr:col>
      <xdr:colOff>47625</xdr:colOff>
      <xdr:row>28</xdr:row>
      <xdr:rowOff>76200</xdr:rowOff>
    </xdr:to>
    <mc:AlternateContent xmlns:mc="http://schemas.openxmlformats.org/markup-compatibility/2006" xmlns:a14="http://schemas.microsoft.com/office/drawing/2010/main">
      <mc:Choice Requires="a14">
        <xdr:graphicFrame macro="">
          <xdr:nvGraphicFramePr>
            <xdr:cNvPr id="12" name="Department 3">
              <a:extLst>
                <a:ext uri="{FF2B5EF4-FFF2-40B4-BE49-F238E27FC236}">
                  <a16:creationId xmlns:a16="http://schemas.microsoft.com/office/drawing/2014/main" id="{B3AE34F9-576E-4A66-8284-C6D7BB8C8206}"/>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47625" y="3676650"/>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31</xdr:row>
      <xdr:rowOff>114300</xdr:rowOff>
    </xdr:from>
    <xdr:to>
      <xdr:col>3</xdr:col>
      <xdr:colOff>28575</xdr:colOff>
      <xdr:row>40</xdr:row>
      <xdr:rowOff>104775</xdr:rowOff>
    </xdr:to>
    <mc:AlternateContent xmlns:mc="http://schemas.openxmlformats.org/markup-compatibility/2006" xmlns:a14="http://schemas.microsoft.com/office/drawing/2010/main">
      <mc:Choice Requires="a14">
        <xdr:graphicFrame macro="">
          <xdr:nvGraphicFramePr>
            <xdr:cNvPr id="13" name="Location 1">
              <a:extLst>
                <a:ext uri="{FF2B5EF4-FFF2-40B4-BE49-F238E27FC236}">
                  <a16:creationId xmlns:a16="http://schemas.microsoft.com/office/drawing/2014/main" id="{7C006B2F-C26B-40BB-AE80-8309EC76965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8575" y="6019800"/>
              <a:ext cx="182880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190499</xdr:colOff>
      <xdr:row>10</xdr:row>
      <xdr:rowOff>38099</xdr:rowOff>
    </xdr:from>
    <xdr:to>
      <xdr:col>15</xdr:col>
      <xdr:colOff>152400</xdr:colOff>
      <xdr:row>25</xdr:row>
      <xdr:rowOff>23812</xdr:rowOff>
    </xdr:to>
    <xdr:graphicFrame macro="">
      <xdr:nvGraphicFramePr>
        <xdr:cNvPr id="14" name="Chart 13">
          <a:extLst>
            <a:ext uri="{FF2B5EF4-FFF2-40B4-BE49-F238E27FC236}">
              <a16:creationId xmlns:a16="http://schemas.microsoft.com/office/drawing/2014/main" id="{33066A2B-450D-44A3-830B-AC657888A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247650</xdr:colOff>
      <xdr:row>10</xdr:row>
      <xdr:rowOff>38099</xdr:rowOff>
    </xdr:from>
    <xdr:to>
      <xdr:col>27</xdr:col>
      <xdr:colOff>371475</xdr:colOff>
      <xdr:row>25</xdr:row>
      <xdr:rowOff>23812</xdr:rowOff>
    </xdr:to>
    <xdr:graphicFrame macro="">
      <xdr:nvGraphicFramePr>
        <xdr:cNvPr id="15" name="Chart 14">
          <a:extLst>
            <a:ext uri="{FF2B5EF4-FFF2-40B4-BE49-F238E27FC236}">
              <a16:creationId xmlns:a16="http://schemas.microsoft.com/office/drawing/2014/main" id="{D8A7EDD9-C2AB-4AE3-8605-B6027217D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381001</xdr:colOff>
      <xdr:row>25</xdr:row>
      <xdr:rowOff>109538</xdr:rowOff>
    </xdr:from>
    <xdr:to>
      <xdr:col>27</xdr:col>
      <xdr:colOff>361951</xdr:colOff>
      <xdr:row>40</xdr:row>
      <xdr:rowOff>109537</xdr:rowOff>
    </xdr:to>
    <xdr:graphicFrame macro="">
      <xdr:nvGraphicFramePr>
        <xdr:cNvPr id="17" name="Chart 16">
          <a:extLst>
            <a:ext uri="{FF2B5EF4-FFF2-40B4-BE49-F238E27FC236}">
              <a16:creationId xmlns:a16="http://schemas.microsoft.com/office/drawing/2014/main" id="{0AB16450-DBF6-456C-ACB2-DD5A282D0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190501</xdr:colOff>
      <xdr:row>25</xdr:row>
      <xdr:rowOff>133349</xdr:rowOff>
    </xdr:from>
    <xdr:to>
      <xdr:col>10</xdr:col>
      <xdr:colOff>180975</xdr:colOff>
      <xdr:row>40</xdr:row>
      <xdr:rowOff>95250</xdr:rowOff>
    </xdr:to>
    <xdr:graphicFrame macro="">
      <xdr:nvGraphicFramePr>
        <xdr:cNvPr id="18" name="Chart 17">
          <a:extLst>
            <a:ext uri="{FF2B5EF4-FFF2-40B4-BE49-F238E27FC236}">
              <a16:creationId xmlns:a16="http://schemas.microsoft.com/office/drawing/2014/main" id="{112AECE0-BC46-4330-84D0-B9EC1CD54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581026</xdr:colOff>
      <xdr:row>0</xdr:row>
      <xdr:rowOff>85726</xdr:rowOff>
    </xdr:from>
    <xdr:to>
      <xdr:col>25</xdr:col>
      <xdr:colOff>142876</xdr:colOff>
      <xdr:row>4</xdr:row>
      <xdr:rowOff>104776</xdr:rowOff>
    </xdr:to>
    <xdr:pic>
      <xdr:nvPicPr>
        <xdr:cNvPr id="20" name="Graphic 19" descr="Bar graph with upward trend with solid fill">
          <a:extLst>
            <a:ext uri="{FF2B5EF4-FFF2-40B4-BE49-F238E27FC236}">
              <a16:creationId xmlns:a16="http://schemas.microsoft.com/office/drawing/2014/main" id="{F7C40ED4-3407-7490-D2FC-A5BF53F23D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601826" y="85726"/>
          <a:ext cx="781050" cy="781050"/>
        </a:xfrm>
        <a:prstGeom prst="rect">
          <a:avLst/>
        </a:prstGeom>
      </xdr:spPr>
    </xdr:pic>
    <xdr:clientData/>
  </xdr:twoCellAnchor>
  <xdr:twoCellAnchor>
    <xdr:from>
      <xdr:col>0</xdr:col>
      <xdr:colOff>542925</xdr:colOff>
      <xdr:row>6</xdr:row>
      <xdr:rowOff>161925</xdr:rowOff>
    </xdr:from>
    <xdr:to>
      <xdr:col>3</xdr:col>
      <xdr:colOff>457200</xdr:colOff>
      <xdr:row>8</xdr:row>
      <xdr:rowOff>152400</xdr:rowOff>
    </xdr:to>
    <xdr:sp macro="" textlink="'Monthly Payroll'!Y2">
      <xdr:nvSpPr>
        <xdr:cNvPr id="28" name="Rectangle: Rounded Corners 27">
          <a:extLst>
            <a:ext uri="{FF2B5EF4-FFF2-40B4-BE49-F238E27FC236}">
              <a16:creationId xmlns:a16="http://schemas.microsoft.com/office/drawing/2014/main" id="{DD222744-38B4-375D-46A8-32C3664DA551}"/>
            </a:ext>
          </a:extLst>
        </xdr:cNvPr>
        <xdr:cNvSpPr/>
      </xdr:nvSpPr>
      <xdr:spPr>
        <a:xfrm>
          <a:off x="542925" y="1304925"/>
          <a:ext cx="174307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68DFA4-5C25-4712-B2AD-0FE1DDB85C05}" type="TxLink">
            <a:rPr lang="en-US" sz="2000" b="1" i="0" u="none" strike="noStrike">
              <a:solidFill>
                <a:srgbClr val="FFFFFF"/>
              </a:solidFill>
              <a:latin typeface="Segoe UI Bold" panose="020B0802040204020203" pitchFamily="34" charset="0"/>
              <a:ea typeface="Calibri"/>
              <a:cs typeface="Segoe UI Bold" panose="020B0802040204020203" pitchFamily="34" charset="0"/>
            </a:rPr>
            <a:pPr algn="ctr"/>
            <a:t>68,10,287</a:t>
          </a:fld>
          <a:endParaRPr lang="en-IN" sz="2000">
            <a:solidFill>
              <a:srgbClr val="FFFFFF"/>
            </a:solidFill>
            <a:latin typeface="Segoe UI Bold" panose="020B0802040204020203" pitchFamily="34" charset="0"/>
            <a:cs typeface="Segoe UI Bold" panose="020B0802040204020203" pitchFamily="34" charset="0"/>
          </a:endParaRPr>
        </a:p>
      </xdr:txBody>
    </xdr:sp>
    <xdr:clientData/>
  </xdr:twoCellAnchor>
  <xdr:twoCellAnchor>
    <xdr:from>
      <xdr:col>5</xdr:col>
      <xdr:colOff>323850</xdr:colOff>
      <xdr:row>6</xdr:row>
      <xdr:rowOff>161925</xdr:rowOff>
    </xdr:from>
    <xdr:to>
      <xdr:col>8</xdr:col>
      <xdr:colOff>238125</xdr:colOff>
      <xdr:row>8</xdr:row>
      <xdr:rowOff>152400</xdr:rowOff>
    </xdr:to>
    <xdr:sp macro="" textlink="'Monthly Payroll'!Y4">
      <xdr:nvSpPr>
        <xdr:cNvPr id="29" name="Rectangle: Rounded Corners 28">
          <a:extLst>
            <a:ext uri="{FF2B5EF4-FFF2-40B4-BE49-F238E27FC236}">
              <a16:creationId xmlns:a16="http://schemas.microsoft.com/office/drawing/2014/main" id="{12D2D5BD-02F8-4F9A-A05A-2E75454A0950}"/>
            </a:ext>
          </a:extLst>
        </xdr:cNvPr>
        <xdr:cNvSpPr/>
      </xdr:nvSpPr>
      <xdr:spPr>
        <a:xfrm>
          <a:off x="3371850" y="1304925"/>
          <a:ext cx="174307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54D1A5-73CF-4D35-A0F8-62AEB44CD833}" type="TxLink">
            <a:rPr lang="en-US" sz="2000" b="1" i="0" u="none" strike="noStrike">
              <a:solidFill>
                <a:schemeClr val="bg1"/>
              </a:solidFill>
              <a:latin typeface="Segoe UI Bold" panose="020B0802040204020203" pitchFamily="34" charset="0"/>
              <a:ea typeface="Calibri"/>
              <a:cs typeface="Segoe UI Bold" panose="020B0802040204020203" pitchFamily="34" charset="0"/>
            </a:rPr>
            <a:pPr algn="ctr"/>
            <a:t>96,36,624</a:t>
          </a:fld>
          <a:endParaRPr lang="en-IN" sz="2000">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10</xdr:col>
      <xdr:colOff>76200</xdr:colOff>
      <xdr:row>6</xdr:row>
      <xdr:rowOff>152400</xdr:rowOff>
    </xdr:from>
    <xdr:to>
      <xdr:col>12</xdr:col>
      <xdr:colOff>600075</xdr:colOff>
      <xdr:row>8</xdr:row>
      <xdr:rowOff>142875</xdr:rowOff>
    </xdr:to>
    <xdr:sp macro="" textlink="'Monthly Payroll'!Y6">
      <xdr:nvSpPr>
        <xdr:cNvPr id="30" name="Rectangle: Rounded Corners 29">
          <a:extLst>
            <a:ext uri="{FF2B5EF4-FFF2-40B4-BE49-F238E27FC236}">
              <a16:creationId xmlns:a16="http://schemas.microsoft.com/office/drawing/2014/main" id="{6199EA4F-60FC-473C-9853-F14097FC41F3}"/>
            </a:ext>
          </a:extLst>
        </xdr:cNvPr>
        <xdr:cNvSpPr/>
      </xdr:nvSpPr>
      <xdr:spPr>
        <a:xfrm>
          <a:off x="6172200" y="1295400"/>
          <a:ext cx="174307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8B582A-FB12-48A8-BEB4-4D2DE35C29FA}" type="TxLink">
            <a:rPr lang="en-US" sz="2000" b="1" i="0" u="none" strike="noStrike">
              <a:solidFill>
                <a:schemeClr val="bg1"/>
              </a:solidFill>
              <a:latin typeface="Segoe UI Bold" panose="020B0802040204020203" pitchFamily="34" charset="0"/>
              <a:ea typeface="Calibri"/>
              <a:cs typeface="Segoe UI Bold" panose="020B0802040204020203" pitchFamily="34" charset="0"/>
            </a:rPr>
            <a:pPr algn="ctr"/>
            <a:t>946</a:t>
          </a:fld>
          <a:endParaRPr lang="en-IN" sz="2000">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14</xdr:col>
      <xdr:colOff>447675</xdr:colOff>
      <xdr:row>6</xdr:row>
      <xdr:rowOff>161925</xdr:rowOff>
    </xdr:from>
    <xdr:to>
      <xdr:col>17</xdr:col>
      <xdr:colOff>361950</xdr:colOff>
      <xdr:row>8</xdr:row>
      <xdr:rowOff>152400</xdr:rowOff>
    </xdr:to>
    <xdr:sp macro="" textlink="'Monthly Payroll'!Y8">
      <xdr:nvSpPr>
        <xdr:cNvPr id="31" name="Rectangle: Rounded Corners 30">
          <a:extLst>
            <a:ext uri="{FF2B5EF4-FFF2-40B4-BE49-F238E27FC236}">
              <a16:creationId xmlns:a16="http://schemas.microsoft.com/office/drawing/2014/main" id="{822EF64A-0CE7-45DF-AE6A-15BCDE4736D7}"/>
            </a:ext>
          </a:extLst>
        </xdr:cNvPr>
        <xdr:cNvSpPr/>
      </xdr:nvSpPr>
      <xdr:spPr>
        <a:xfrm>
          <a:off x="8982075" y="1304925"/>
          <a:ext cx="174307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138524-ABBC-4CBD-9B68-25C0A31807FB}" type="TxLink">
            <a:rPr lang="en-US" sz="2000" b="1" i="0" u="none" strike="noStrike">
              <a:solidFill>
                <a:schemeClr val="bg1"/>
              </a:solidFill>
              <a:latin typeface="Segoe UI Bold" panose="020B0802040204020203" pitchFamily="34" charset="0"/>
              <a:ea typeface="Calibri"/>
              <a:cs typeface="Segoe UI Bold" panose="020B0802040204020203" pitchFamily="34" charset="0"/>
            </a:rPr>
            <a:pPr algn="ctr"/>
            <a:t>269</a:t>
          </a:fld>
          <a:endParaRPr lang="en-IN" sz="2000">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19</xdr:col>
      <xdr:colOff>180975</xdr:colOff>
      <xdr:row>6</xdr:row>
      <xdr:rowOff>171450</xdr:rowOff>
    </xdr:from>
    <xdr:to>
      <xdr:col>22</xdr:col>
      <xdr:colOff>95250</xdr:colOff>
      <xdr:row>8</xdr:row>
      <xdr:rowOff>161925</xdr:rowOff>
    </xdr:to>
    <xdr:sp macro="" textlink="'Monthly Payroll'!Y10">
      <xdr:nvSpPr>
        <xdr:cNvPr id="32" name="Rectangle: Rounded Corners 31">
          <a:extLst>
            <a:ext uri="{FF2B5EF4-FFF2-40B4-BE49-F238E27FC236}">
              <a16:creationId xmlns:a16="http://schemas.microsoft.com/office/drawing/2014/main" id="{C04FD2E1-1959-4000-B86D-A729B1439A81}"/>
            </a:ext>
          </a:extLst>
        </xdr:cNvPr>
        <xdr:cNvSpPr/>
      </xdr:nvSpPr>
      <xdr:spPr>
        <a:xfrm>
          <a:off x="11763375" y="1314450"/>
          <a:ext cx="174307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91E09-D81A-40A8-AAF0-D6C1D12FB1DD}" type="TxLink">
            <a:rPr lang="en-US" sz="2000" b="1" i="0" u="none" strike="noStrike">
              <a:solidFill>
                <a:schemeClr val="bg1"/>
              </a:solidFill>
              <a:latin typeface="Segoe UI Bold" panose="020B0802040204020203" pitchFamily="34" charset="0"/>
              <a:ea typeface="Calibri"/>
              <a:cs typeface="Segoe UI Bold" panose="020B0802040204020203" pitchFamily="34" charset="0"/>
            </a:rPr>
            <a:pPr algn="ctr"/>
            <a:t>Kolkata</a:t>
          </a:fld>
          <a:endParaRPr lang="en-IN" sz="2000">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23</xdr:col>
      <xdr:colOff>571500</xdr:colOff>
      <xdr:row>6</xdr:row>
      <xdr:rowOff>161925</xdr:rowOff>
    </xdr:from>
    <xdr:to>
      <xdr:col>26</xdr:col>
      <xdr:colOff>485775</xdr:colOff>
      <xdr:row>8</xdr:row>
      <xdr:rowOff>152400</xdr:rowOff>
    </xdr:to>
    <xdr:sp macro="" textlink="'Monthly Payroll'!Y12">
      <xdr:nvSpPr>
        <xdr:cNvPr id="33" name="Rectangle: Rounded Corners 32">
          <a:extLst>
            <a:ext uri="{FF2B5EF4-FFF2-40B4-BE49-F238E27FC236}">
              <a16:creationId xmlns:a16="http://schemas.microsoft.com/office/drawing/2014/main" id="{5EC7440B-5B7C-488B-992F-84BD35578A0B}"/>
            </a:ext>
          </a:extLst>
        </xdr:cNvPr>
        <xdr:cNvSpPr/>
      </xdr:nvSpPr>
      <xdr:spPr>
        <a:xfrm>
          <a:off x="14592300" y="1304925"/>
          <a:ext cx="174307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CAB822-4288-4A59-A71B-EB8224BE693B}" type="TxLink">
            <a:rPr lang="en-US" sz="2000" b="1" i="0" u="none" strike="noStrike">
              <a:solidFill>
                <a:schemeClr val="bg1"/>
              </a:solidFill>
              <a:latin typeface="Segoe UI Bold" panose="020B0802040204020203" pitchFamily="34" charset="0"/>
              <a:ea typeface="Calibri"/>
              <a:cs typeface="Segoe UI Bold" panose="020B0802040204020203" pitchFamily="34" charset="0"/>
            </a:rPr>
            <a:pPr algn="ctr"/>
            <a:t>Sales</a:t>
          </a:fld>
          <a:endParaRPr lang="en-IN" sz="2000">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11</xdr:col>
      <xdr:colOff>471488</xdr:colOff>
      <xdr:row>25</xdr:row>
      <xdr:rowOff>123825</xdr:rowOff>
    </xdr:from>
    <xdr:to>
      <xdr:col>19</xdr:col>
      <xdr:colOff>90488</xdr:colOff>
      <xdr:row>40</xdr:row>
      <xdr:rowOff>104775</xdr:rowOff>
    </xdr:to>
    <xdr:graphicFrame macro="">
      <xdr:nvGraphicFramePr>
        <xdr:cNvPr id="34" name="Chart 33">
          <a:extLst>
            <a:ext uri="{FF2B5EF4-FFF2-40B4-BE49-F238E27FC236}">
              <a16:creationId xmlns:a16="http://schemas.microsoft.com/office/drawing/2014/main" id="{D46B645B-06F3-4166-ACDE-9A6F3D69C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xdr:colOff>
      <xdr:row>7</xdr:row>
      <xdr:rowOff>28575</xdr:rowOff>
    </xdr:from>
    <xdr:to>
      <xdr:col>4</xdr:col>
      <xdr:colOff>19050</xdr:colOff>
      <xdr:row>12</xdr:row>
      <xdr:rowOff>47625</xdr:rowOff>
    </xdr:to>
    <xdr:sp macro="" textlink="">
      <xdr:nvSpPr>
        <xdr:cNvPr id="2" name="Rectangle: Top Corners One Rounded and One Snipped 1">
          <a:extLst>
            <a:ext uri="{FF2B5EF4-FFF2-40B4-BE49-F238E27FC236}">
              <a16:creationId xmlns:a16="http://schemas.microsoft.com/office/drawing/2014/main" id="{DCB0A508-BF5A-482B-A34C-9D3D295103D0}"/>
            </a:ext>
          </a:extLst>
        </xdr:cNvPr>
        <xdr:cNvSpPr/>
      </xdr:nvSpPr>
      <xdr:spPr>
        <a:xfrm>
          <a:off x="614362" y="1362075"/>
          <a:ext cx="1843088" cy="971550"/>
        </a:xfrm>
        <a:prstGeom prst="snipRoundRect">
          <a:avLst/>
        </a:prstGeom>
        <a:solidFill>
          <a:srgbClr val="D9770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Payroll Stability</a:t>
          </a:r>
        </a:p>
      </xdr:txBody>
    </xdr:sp>
    <xdr:clientData/>
  </xdr:twoCellAnchor>
  <xdr:twoCellAnchor>
    <xdr:from>
      <xdr:col>1</xdr:col>
      <xdr:colOff>4762</xdr:colOff>
      <xdr:row>13</xdr:row>
      <xdr:rowOff>119062</xdr:rowOff>
    </xdr:from>
    <xdr:to>
      <xdr:col>4</xdr:col>
      <xdr:colOff>19050</xdr:colOff>
      <xdr:row>18</xdr:row>
      <xdr:rowOff>138112</xdr:rowOff>
    </xdr:to>
    <xdr:sp macro="" textlink="">
      <xdr:nvSpPr>
        <xdr:cNvPr id="3" name="Rectangle: Top Corners One Rounded and One Snipped 2">
          <a:extLst>
            <a:ext uri="{FF2B5EF4-FFF2-40B4-BE49-F238E27FC236}">
              <a16:creationId xmlns:a16="http://schemas.microsoft.com/office/drawing/2014/main" id="{A40441A1-2394-4173-85EF-FC46337B2C1D}"/>
            </a:ext>
          </a:extLst>
        </xdr:cNvPr>
        <xdr:cNvSpPr/>
      </xdr:nvSpPr>
      <xdr:spPr>
        <a:xfrm>
          <a:off x="614362" y="2595562"/>
          <a:ext cx="1843088" cy="971550"/>
        </a:xfrm>
        <a:prstGeom prst="snipRoundRect">
          <a:avLst/>
        </a:prstGeom>
        <a:solidFill>
          <a:srgbClr val="D9770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Overtime Trend</a:t>
          </a:r>
        </a:p>
      </xdr:txBody>
    </xdr:sp>
    <xdr:clientData/>
  </xdr:twoCellAnchor>
  <xdr:twoCellAnchor>
    <xdr:from>
      <xdr:col>1</xdr:col>
      <xdr:colOff>4762</xdr:colOff>
      <xdr:row>20</xdr:row>
      <xdr:rowOff>0</xdr:rowOff>
    </xdr:from>
    <xdr:to>
      <xdr:col>4</xdr:col>
      <xdr:colOff>19050</xdr:colOff>
      <xdr:row>25</xdr:row>
      <xdr:rowOff>19050</xdr:rowOff>
    </xdr:to>
    <xdr:sp macro="" textlink="">
      <xdr:nvSpPr>
        <xdr:cNvPr id="4" name="Rectangle: Top Corners One Rounded and One Snipped 3">
          <a:extLst>
            <a:ext uri="{FF2B5EF4-FFF2-40B4-BE49-F238E27FC236}">
              <a16:creationId xmlns:a16="http://schemas.microsoft.com/office/drawing/2014/main" id="{456D9ED3-595C-4B6F-BA16-03AEB1FD07A6}"/>
            </a:ext>
          </a:extLst>
        </xdr:cNvPr>
        <xdr:cNvSpPr/>
      </xdr:nvSpPr>
      <xdr:spPr>
        <a:xfrm>
          <a:off x="614362" y="3810000"/>
          <a:ext cx="1843088" cy="971550"/>
        </a:xfrm>
        <a:prstGeom prst="snipRoundRect">
          <a:avLst/>
        </a:prstGeom>
        <a:solidFill>
          <a:srgbClr val="D9770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Incentive Growth</a:t>
          </a:r>
        </a:p>
      </xdr:txBody>
    </xdr:sp>
    <xdr:clientData/>
  </xdr:twoCellAnchor>
  <xdr:twoCellAnchor>
    <xdr:from>
      <xdr:col>1</xdr:col>
      <xdr:colOff>4762</xdr:colOff>
      <xdr:row>26</xdr:row>
      <xdr:rowOff>109537</xdr:rowOff>
    </xdr:from>
    <xdr:to>
      <xdr:col>4</xdr:col>
      <xdr:colOff>19050</xdr:colOff>
      <xdr:row>31</xdr:row>
      <xdr:rowOff>128587</xdr:rowOff>
    </xdr:to>
    <xdr:sp macro="" textlink="">
      <xdr:nvSpPr>
        <xdr:cNvPr id="5" name="Rectangle: Top Corners One Rounded and One Snipped 4">
          <a:extLst>
            <a:ext uri="{FF2B5EF4-FFF2-40B4-BE49-F238E27FC236}">
              <a16:creationId xmlns:a16="http://schemas.microsoft.com/office/drawing/2014/main" id="{8E01C1BB-8A6E-464C-9024-6CDFD8E2D1A6}"/>
            </a:ext>
          </a:extLst>
        </xdr:cNvPr>
        <xdr:cNvSpPr/>
      </xdr:nvSpPr>
      <xdr:spPr>
        <a:xfrm>
          <a:off x="614362" y="5062537"/>
          <a:ext cx="1843088" cy="971550"/>
        </a:xfrm>
        <a:prstGeom prst="snipRoundRect">
          <a:avLst/>
        </a:prstGeom>
        <a:solidFill>
          <a:srgbClr val="D9770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Location Cost</a:t>
          </a:r>
        </a:p>
      </xdr:txBody>
    </xdr:sp>
    <xdr:clientData/>
  </xdr:twoCellAnchor>
  <xdr:twoCellAnchor>
    <xdr:from>
      <xdr:col>1</xdr:col>
      <xdr:colOff>4762</xdr:colOff>
      <xdr:row>32</xdr:row>
      <xdr:rowOff>166687</xdr:rowOff>
    </xdr:from>
    <xdr:to>
      <xdr:col>4</xdr:col>
      <xdr:colOff>19050</xdr:colOff>
      <xdr:row>37</xdr:row>
      <xdr:rowOff>185737</xdr:rowOff>
    </xdr:to>
    <xdr:sp macro="" textlink="">
      <xdr:nvSpPr>
        <xdr:cNvPr id="6" name="Rectangle: Top Corners One Rounded and One Snipped 5">
          <a:extLst>
            <a:ext uri="{FF2B5EF4-FFF2-40B4-BE49-F238E27FC236}">
              <a16:creationId xmlns:a16="http://schemas.microsoft.com/office/drawing/2014/main" id="{A7C9A98B-F899-4775-8B33-5CEB2B6F2556}"/>
            </a:ext>
          </a:extLst>
        </xdr:cNvPr>
        <xdr:cNvSpPr/>
      </xdr:nvSpPr>
      <xdr:spPr>
        <a:xfrm>
          <a:off x="614362" y="6262687"/>
          <a:ext cx="1843088" cy="971550"/>
        </a:xfrm>
        <a:prstGeom prst="snipRoundRect">
          <a:avLst/>
        </a:prstGeom>
        <a:solidFill>
          <a:srgbClr val="D9770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LOP Exposure</a:t>
          </a:r>
        </a:p>
      </xdr:txBody>
    </xdr:sp>
    <xdr:clientData/>
  </xdr:twoCellAnchor>
  <xdr:twoCellAnchor>
    <xdr:from>
      <xdr:col>5</xdr:col>
      <xdr:colOff>19050</xdr:colOff>
      <xdr:row>7</xdr:row>
      <xdr:rowOff>33338</xdr:rowOff>
    </xdr:from>
    <xdr:to>
      <xdr:col>26</xdr:col>
      <xdr:colOff>228600</xdr:colOff>
      <xdr:row>12</xdr:row>
      <xdr:rowOff>42863</xdr:rowOff>
    </xdr:to>
    <xdr:sp macro="" textlink="">
      <xdr:nvSpPr>
        <xdr:cNvPr id="7" name="Rectangle: Diagonal Corners Rounded 6">
          <a:extLst>
            <a:ext uri="{FF2B5EF4-FFF2-40B4-BE49-F238E27FC236}">
              <a16:creationId xmlns:a16="http://schemas.microsoft.com/office/drawing/2014/main" id="{19DB6B19-283D-4D71-B462-7FA23F16F186}"/>
            </a:ext>
          </a:extLst>
        </xdr:cNvPr>
        <xdr:cNvSpPr/>
      </xdr:nvSpPr>
      <xdr:spPr>
        <a:xfrm>
          <a:off x="3067050" y="1366838"/>
          <a:ext cx="13011150" cy="962025"/>
        </a:xfrm>
        <a:prstGeom prst="round2DiagRect">
          <a:avLst/>
        </a:prstGeom>
        <a:solidFill>
          <a:srgbClr val="F1F5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rgbClr val="1E293B"/>
              </a:solidFill>
            </a:rPr>
            <a:t>Monthly net payroll remained relatively stable at approximately </a:t>
          </a:r>
          <a:r>
            <a:rPr lang="en-IN" sz="1800" b="1">
              <a:solidFill>
                <a:srgbClr val="1E293B"/>
              </a:solidFill>
            </a:rPr>
            <a:t>₹22.6–₹22.9 lakh</a:t>
          </a:r>
          <a:r>
            <a:rPr lang="en-IN" sz="1800">
              <a:solidFill>
                <a:srgbClr val="1E293B"/>
              </a:solidFill>
            </a:rPr>
            <a:t> from January to March.</a:t>
          </a:r>
          <a:r>
            <a:rPr lang="en-IN" sz="1800" baseline="0">
              <a:solidFill>
                <a:srgbClr val="1E293B"/>
              </a:solidFill>
            </a:rPr>
            <a:t> </a:t>
          </a:r>
          <a:r>
            <a:rPr lang="en-IN" sz="1800">
              <a:solidFill>
                <a:srgbClr val="1E293B"/>
              </a:solidFill>
            </a:rPr>
            <a:t>During the same period, payroll headcount increased from </a:t>
          </a:r>
          <a:r>
            <a:rPr lang="en-IN" sz="1800" b="1">
              <a:solidFill>
                <a:srgbClr val="1E293B"/>
              </a:solidFill>
            </a:rPr>
            <a:t>37 to 40 employees</a:t>
          </a:r>
          <a:r>
            <a:rPr lang="en-IN" sz="1800">
              <a:solidFill>
                <a:srgbClr val="1E293B"/>
              </a:solidFill>
            </a:rPr>
            <a:t>, indicating relatively stable payroll cost despite workforce growth.</a:t>
          </a:r>
        </a:p>
      </xdr:txBody>
    </xdr:sp>
    <xdr:clientData/>
  </xdr:twoCellAnchor>
  <xdr:twoCellAnchor>
    <xdr:from>
      <xdr:col>5</xdr:col>
      <xdr:colOff>19050</xdr:colOff>
      <xdr:row>13</xdr:row>
      <xdr:rowOff>123825</xdr:rowOff>
    </xdr:from>
    <xdr:to>
      <xdr:col>26</xdr:col>
      <xdr:colOff>228600</xdr:colOff>
      <xdr:row>18</xdr:row>
      <xdr:rowOff>133350</xdr:rowOff>
    </xdr:to>
    <xdr:sp macro="" textlink="">
      <xdr:nvSpPr>
        <xdr:cNvPr id="8" name="Rectangle: Diagonal Corners Rounded 7">
          <a:extLst>
            <a:ext uri="{FF2B5EF4-FFF2-40B4-BE49-F238E27FC236}">
              <a16:creationId xmlns:a16="http://schemas.microsoft.com/office/drawing/2014/main" id="{076279D8-A89B-4AB8-88E9-AEE6C6AB86C1}"/>
            </a:ext>
          </a:extLst>
        </xdr:cNvPr>
        <xdr:cNvSpPr/>
      </xdr:nvSpPr>
      <xdr:spPr>
        <a:xfrm>
          <a:off x="3067050" y="2600325"/>
          <a:ext cx="13011150" cy="962025"/>
        </a:xfrm>
        <a:prstGeom prst="round2DiagRect">
          <a:avLst/>
        </a:prstGeom>
        <a:solidFill>
          <a:srgbClr val="F1F5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rgbClr val="1E293B"/>
              </a:solidFill>
            </a:rPr>
            <a:t>Overtime hours peaked at </a:t>
          </a:r>
          <a:r>
            <a:rPr lang="en-IN" sz="1800" b="1">
              <a:solidFill>
                <a:srgbClr val="1E293B"/>
              </a:solidFill>
            </a:rPr>
            <a:t>346 hours in February</a:t>
          </a:r>
          <a:r>
            <a:rPr lang="en-IN" sz="1800">
              <a:solidFill>
                <a:srgbClr val="1E293B"/>
              </a:solidFill>
            </a:rPr>
            <a:t>, before declining to </a:t>
          </a:r>
          <a:r>
            <a:rPr lang="en-IN" sz="1800" b="1">
              <a:solidFill>
                <a:srgbClr val="1E293B"/>
              </a:solidFill>
            </a:rPr>
            <a:t>296 hours in March</a:t>
          </a:r>
          <a:r>
            <a:rPr lang="en-IN" sz="1800">
              <a:solidFill>
                <a:srgbClr val="1E293B"/>
              </a:solidFill>
            </a:rPr>
            <a:t>.</a:t>
          </a:r>
          <a:r>
            <a:rPr lang="en-IN" sz="1800" baseline="0">
              <a:solidFill>
                <a:srgbClr val="1E293B"/>
              </a:solidFill>
            </a:rPr>
            <a:t> </a:t>
          </a:r>
          <a:r>
            <a:rPr lang="en-IN" sz="1800">
              <a:solidFill>
                <a:srgbClr val="1E293B"/>
              </a:solidFill>
            </a:rPr>
            <a:t>The reduction in March overtime is notable because March had the highest payroll headcount during the three-month period.</a:t>
          </a:r>
          <a:endParaRPr lang="en-IN" sz="1800" b="0">
            <a:solidFill>
              <a:srgbClr val="1E293B"/>
            </a:solidFill>
          </a:endParaRPr>
        </a:p>
      </xdr:txBody>
    </xdr:sp>
    <xdr:clientData/>
  </xdr:twoCellAnchor>
  <xdr:twoCellAnchor>
    <xdr:from>
      <xdr:col>5</xdr:col>
      <xdr:colOff>19050</xdr:colOff>
      <xdr:row>20</xdr:row>
      <xdr:rowOff>4763</xdr:rowOff>
    </xdr:from>
    <xdr:to>
      <xdr:col>26</xdr:col>
      <xdr:colOff>228600</xdr:colOff>
      <xdr:row>25</xdr:row>
      <xdr:rowOff>14288</xdr:rowOff>
    </xdr:to>
    <xdr:sp macro="" textlink="">
      <xdr:nvSpPr>
        <xdr:cNvPr id="9" name="Rectangle: Diagonal Corners Rounded 8">
          <a:extLst>
            <a:ext uri="{FF2B5EF4-FFF2-40B4-BE49-F238E27FC236}">
              <a16:creationId xmlns:a16="http://schemas.microsoft.com/office/drawing/2014/main" id="{BAC6E0D9-53BF-444B-B6AA-FA9ADD5D47C7}"/>
            </a:ext>
          </a:extLst>
        </xdr:cNvPr>
        <xdr:cNvSpPr/>
      </xdr:nvSpPr>
      <xdr:spPr>
        <a:xfrm>
          <a:off x="3067050" y="3814763"/>
          <a:ext cx="13011150" cy="962025"/>
        </a:xfrm>
        <a:prstGeom prst="round2DiagRect">
          <a:avLst/>
        </a:prstGeom>
        <a:solidFill>
          <a:srgbClr val="F1F5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rgbClr val="1E293B"/>
              </a:solidFill>
            </a:rPr>
            <a:t>Target incentives increased significantly to </a:t>
          </a:r>
          <a:r>
            <a:rPr lang="en-IN" sz="1800" b="1">
              <a:solidFill>
                <a:srgbClr val="1E293B"/>
              </a:solidFill>
            </a:rPr>
            <a:t>₹1.92 lakh in March</a:t>
          </a:r>
          <a:r>
            <a:rPr lang="en-IN" sz="1800">
              <a:solidFill>
                <a:srgbClr val="1E293B"/>
              </a:solidFill>
            </a:rPr>
            <a:t>, the highest among the three months.</a:t>
          </a:r>
          <a:r>
            <a:rPr lang="en-IN" sz="1800" baseline="0">
              <a:solidFill>
                <a:srgbClr val="1E293B"/>
              </a:solidFill>
            </a:rPr>
            <a:t> </a:t>
          </a:r>
          <a:r>
            <a:rPr lang="en-IN" sz="1800">
              <a:solidFill>
                <a:srgbClr val="1E293B"/>
              </a:solidFill>
            </a:rPr>
            <a:t>This represents an increase of approximately </a:t>
          </a:r>
          <a:r>
            <a:rPr lang="en-IN" sz="1800" b="1">
              <a:solidFill>
                <a:srgbClr val="1E293B"/>
              </a:solidFill>
            </a:rPr>
            <a:t>45% compared with January</a:t>
          </a:r>
          <a:r>
            <a:rPr lang="en-IN" sz="1800">
              <a:solidFill>
                <a:srgbClr val="1E293B"/>
              </a:solidFill>
            </a:rPr>
            <a:t>, making March the key month for incentive-cost analysis.</a:t>
          </a:r>
        </a:p>
      </xdr:txBody>
    </xdr:sp>
    <xdr:clientData/>
  </xdr:twoCellAnchor>
  <xdr:twoCellAnchor>
    <xdr:from>
      <xdr:col>5</xdr:col>
      <xdr:colOff>19050</xdr:colOff>
      <xdr:row>26</xdr:row>
      <xdr:rowOff>114300</xdr:rowOff>
    </xdr:from>
    <xdr:to>
      <xdr:col>26</xdr:col>
      <xdr:colOff>228600</xdr:colOff>
      <xdr:row>31</xdr:row>
      <xdr:rowOff>123825</xdr:rowOff>
    </xdr:to>
    <xdr:sp macro="" textlink="">
      <xdr:nvSpPr>
        <xdr:cNvPr id="10" name="Rectangle: Diagonal Corners Rounded 9">
          <a:extLst>
            <a:ext uri="{FF2B5EF4-FFF2-40B4-BE49-F238E27FC236}">
              <a16:creationId xmlns:a16="http://schemas.microsoft.com/office/drawing/2014/main" id="{E39F68B3-5E09-4181-A52A-544571FB5B22}"/>
            </a:ext>
          </a:extLst>
        </xdr:cNvPr>
        <xdr:cNvSpPr/>
      </xdr:nvSpPr>
      <xdr:spPr>
        <a:xfrm>
          <a:off x="3067050" y="5067300"/>
          <a:ext cx="13011150" cy="962025"/>
        </a:xfrm>
        <a:prstGeom prst="round2DiagRect">
          <a:avLst/>
        </a:prstGeom>
        <a:solidFill>
          <a:srgbClr val="F1F5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rgbClr val="1E293B"/>
              </a:solidFill>
            </a:rPr>
            <a:t>Bangalore recorded the highest cumulative net payroll at approximately </a:t>
          </a:r>
          <a:r>
            <a:rPr lang="en-IN" sz="1800" b="1">
              <a:solidFill>
                <a:srgbClr val="1E293B"/>
              </a:solidFill>
            </a:rPr>
            <a:t>₹16.91 lakh</a:t>
          </a:r>
          <a:r>
            <a:rPr lang="en-IN" sz="1800">
              <a:solidFill>
                <a:srgbClr val="1E293B"/>
              </a:solidFill>
            </a:rPr>
            <a:t>, along with the highest overtime volume of </a:t>
          </a:r>
          <a:r>
            <a:rPr lang="en-IN" sz="1800" b="1">
              <a:solidFill>
                <a:srgbClr val="1E293B"/>
              </a:solidFill>
            </a:rPr>
            <a:t>233 hours</a:t>
          </a:r>
          <a:r>
            <a:rPr lang="en-IN" sz="1800">
              <a:solidFill>
                <a:srgbClr val="1E293B"/>
              </a:solidFill>
            </a:rPr>
            <a:t>.</a:t>
          </a:r>
          <a:r>
            <a:rPr lang="en-IN" sz="1800" baseline="0">
              <a:solidFill>
                <a:srgbClr val="1E293B"/>
              </a:solidFill>
            </a:rPr>
            <a:t> </a:t>
          </a:r>
          <a:r>
            <a:rPr lang="en-IN" sz="1800">
              <a:solidFill>
                <a:srgbClr val="1E293B"/>
              </a:solidFill>
            </a:rPr>
            <a:t>This makes Bangalore the primary location to monitor for both payroll expenditure and overtime utilization.</a:t>
          </a:r>
        </a:p>
      </xdr:txBody>
    </xdr:sp>
    <xdr:clientData/>
  </xdr:twoCellAnchor>
  <xdr:twoCellAnchor>
    <xdr:from>
      <xdr:col>5</xdr:col>
      <xdr:colOff>19050</xdr:colOff>
      <xdr:row>32</xdr:row>
      <xdr:rowOff>171450</xdr:rowOff>
    </xdr:from>
    <xdr:to>
      <xdr:col>26</xdr:col>
      <xdr:colOff>228600</xdr:colOff>
      <xdr:row>37</xdr:row>
      <xdr:rowOff>180975</xdr:rowOff>
    </xdr:to>
    <xdr:sp macro="" textlink="">
      <xdr:nvSpPr>
        <xdr:cNvPr id="11" name="Rectangle: Diagonal Corners Rounded 10">
          <a:extLst>
            <a:ext uri="{FF2B5EF4-FFF2-40B4-BE49-F238E27FC236}">
              <a16:creationId xmlns:a16="http://schemas.microsoft.com/office/drawing/2014/main" id="{82E10292-89BD-45BA-BCEF-3ABD788C3D38}"/>
            </a:ext>
          </a:extLst>
        </xdr:cNvPr>
        <xdr:cNvSpPr/>
      </xdr:nvSpPr>
      <xdr:spPr>
        <a:xfrm>
          <a:off x="3067050" y="6267450"/>
          <a:ext cx="13011150" cy="962025"/>
        </a:xfrm>
        <a:prstGeom prst="round2DiagRect">
          <a:avLst/>
        </a:prstGeom>
        <a:solidFill>
          <a:srgbClr val="F1F5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rgbClr val="1E293B"/>
              </a:solidFill>
            </a:rPr>
            <a:t>Chennai recorded the highest Loss of Pay at </a:t>
          </a:r>
          <a:r>
            <a:rPr lang="en-IN" sz="1800" b="1">
              <a:solidFill>
                <a:srgbClr val="1E293B"/>
              </a:solidFill>
            </a:rPr>
            <a:t>95 days</a:t>
          </a:r>
          <a:r>
            <a:rPr lang="en-IN" sz="1800">
              <a:solidFill>
                <a:srgbClr val="1E293B"/>
              </a:solidFill>
            </a:rPr>
            <a:t>, despite Bangalore having the highest overall payroll cost.</a:t>
          </a:r>
          <a:r>
            <a:rPr lang="en-IN" sz="1800" baseline="0">
              <a:solidFill>
                <a:srgbClr val="1E293B"/>
              </a:solidFill>
            </a:rPr>
            <a:t> </a:t>
          </a:r>
          <a:r>
            <a:rPr lang="en-IN" sz="1800">
              <a:solidFill>
                <a:srgbClr val="1E293B"/>
              </a:solidFill>
            </a:rPr>
            <a:t>The difference suggests that payroll cost and LOP exposure are concentrated in different locations and should be reviewed separately.</a:t>
          </a:r>
        </a:p>
      </xdr:txBody>
    </xdr:sp>
    <xdr:clientData/>
  </xdr:twoCellAnchor>
  <xdr:twoCellAnchor>
    <xdr:from>
      <xdr:col>1</xdr:col>
      <xdr:colOff>0</xdr:colOff>
      <xdr:row>1</xdr:row>
      <xdr:rowOff>0</xdr:rowOff>
    </xdr:from>
    <xdr:to>
      <xdr:col>26</xdr:col>
      <xdr:colOff>238125</xdr:colOff>
      <xdr:row>6</xdr:row>
      <xdr:rowOff>0</xdr:rowOff>
    </xdr:to>
    <xdr:sp macro="" textlink="">
      <xdr:nvSpPr>
        <xdr:cNvPr id="12" name="Rectangle 11">
          <a:extLst>
            <a:ext uri="{FF2B5EF4-FFF2-40B4-BE49-F238E27FC236}">
              <a16:creationId xmlns:a16="http://schemas.microsoft.com/office/drawing/2014/main" id="{12869A10-A013-491B-9743-E0CCEAFD42EB}"/>
            </a:ext>
          </a:extLst>
        </xdr:cNvPr>
        <xdr:cNvSpPr/>
      </xdr:nvSpPr>
      <xdr:spPr>
        <a:xfrm>
          <a:off x="609600" y="190500"/>
          <a:ext cx="15478125" cy="952500"/>
        </a:xfrm>
        <a:prstGeom prst="rect">
          <a:avLst/>
        </a:prstGeom>
        <a:solidFill>
          <a:srgbClr val="1725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BUSINESS INSIGHTS</a:t>
          </a:r>
          <a:r>
            <a:rPr lang="en-IN" sz="3200" b="1" baseline="0"/>
            <a:t> FOR MONTHLY PAYROLL</a:t>
          </a:r>
          <a:endParaRPr lang="en-IN"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G" refreshedDate="46212.883118055557" createdVersion="8" refreshedVersion="8" minRefreshableVersion="3" recordCount="50" xr:uid="{70DFC465-398B-4BA3-82E9-ACE0C13C36F7}">
  <cacheSource type="worksheet">
    <worksheetSource name="Table1[[Employee Id]:[Phone]]"/>
  </cacheSource>
  <cacheFields count="19">
    <cacheField name="Employee Id" numFmtId="0">
      <sharedItems/>
    </cacheField>
    <cacheField name="First Name" numFmtId="0">
      <sharedItems/>
    </cacheField>
    <cacheField name="Last Name" numFmtId="0">
      <sharedItems/>
    </cacheField>
    <cacheField name="Gender" numFmtId="0">
      <sharedItems count="2">
        <s v="Male"/>
        <s v="Female"/>
      </sharedItems>
    </cacheField>
    <cacheField name="Marital Status" numFmtId="0">
      <sharedItems/>
    </cacheField>
    <cacheField name="Age" numFmtId="0">
      <sharedItems containsSemiMixedTypes="0" containsString="0" containsNumber="1" containsInteger="1" minValue="23" maxValue="48"/>
    </cacheField>
    <cacheField name="Date Of Birth" numFmtId="15">
      <sharedItems containsSemiMixedTypes="0" containsNonDate="0" containsDate="1" containsString="0" minDate="1978-07-07T00:00:00" maxDate="2002-07-15T00:00:00"/>
    </cacheField>
    <cacheField name="Date Of Joining" numFmtId="15">
      <sharedItems containsSemiMixedTypes="0" containsNonDate="0" containsDate="1" containsString="0" minDate="2022-02-01T00:00:00" maxDate="2026-03-25T00:00:00" count="50">
        <d v="2022-02-01T00:00:00"/>
        <d v="2022-02-21T00:00:00"/>
        <d v="2022-03-14T00:00:00"/>
        <d v="2022-04-25T00:00:00"/>
        <d v="2022-05-16T00:00:00"/>
        <d v="2022-05-23T00:00:00"/>
        <d v="2022-08-29T00:00:00"/>
        <d v="2022-11-21T00:00:00"/>
        <d v="2022-11-28T00:00:00"/>
        <d v="2022-12-12T00:00:00"/>
        <d v="2023-01-09T00:00:00"/>
        <d v="2023-01-30T00:00:00"/>
        <d v="2023-02-06T00:00:00"/>
        <d v="2023-03-20T00:00:00"/>
        <d v="2023-04-17T00:00:00"/>
        <d v="2023-04-24T00:00:00"/>
        <d v="2023-05-02T00:00:00"/>
        <d v="2023-05-29T00:00:00"/>
        <d v="2023-09-01T00:00:00"/>
        <d v="2023-09-04T00:00:00"/>
        <d v="2023-10-23T00:00:00"/>
        <d v="2023-11-06T00:00:00"/>
        <d v="2024-01-29T00:00:00"/>
        <d v="2024-02-05T00:00:00"/>
        <d v="2024-02-06T00:00:00"/>
        <d v="2024-04-22T00:00:00"/>
        <d v="2024-05-06T00:00:00"/>
        <d v="2024-07-29T00:00:00"/>
        <d v="2024-08-05T00:00:00"/>
        <d v="2024-09-02T00:00:00"/>
        <d v="2024-10-14T00:00:00"/>
        <d v="2024-11-11T00:00:00"/>
        <d v="2024-11-18T00:00:00"/>
        <d v="2024-12-23T00:00:00"/>
        <d v="2025-01-06T00:00:00"/>
        <d v="2025-05-05T00:00:00"/>
        <d v="2025-06-23T00:00:00"/>
        <d v="2025-07-14T00:00:00"/>
        <d v="2025-09-01T00:00:00"/>
        <d v="2025-09-08T00:00:00"/>
        <d v="2025-11-17T00:00:00"/>
        <d v="2025-12-01T00:00:00"/>
        <d v="2026-01-05T00:00:00"/>
        <d v="2026-01-19T00:00:00"/>
        <d v="2026-02-03T00:00:00"/>
        <d v="2026-02-09T00:00:00"/>
        <d v="2026-02-10T00:00:00"/>
        <d v="2026-03-10T00:00:00"/>
        <d v="2026-03-17T00:00:00"/>
        <d v="2026-03-24T00:00:00"/>
      </sharedItems>
    </cacheField>
    <cacheField name="Date of Leaving" numFmtId="15">
      <sharedItems containsNonDate="0" containsDate="1" containsString="0" containsBlank="1" minDate="2025-08-17T00:00:00" maxDate="2026-03-18T00:00:00"/>
    </cacheField>
    <cacheField name="Designation" numFmtId="15">
      <sharedItems/>
    </cacheField>
    <cacheField name="Department" numFmtId="0">
      <sharedItems count="5">
        <s v="HR"/>
        <s v="Analytics"/>
        <s v="Payroll"/>
        <s v="Sales"/>
        <s v="Finance"/>
      </sharedItems>
    </cacheField>
    <cacheField name="Reporting Manager" numFmtId="164">
      <sharedItems/>
    </cacheField>
    <cacheField name="Work Location" numFmtId="0">
      <sharedItems count="5">
        <s v="Bangalore"/>
        <s v="Chennai"/>
        <s v="Mumbai"/>
        <s v="Kolkata"/>
        <s v="Hyderabad"/>
      </sharedItems>
    </cacheField>
    <cacheField name="Status" numFmtId="0">
      <sharedItems count="2">
        <s v="Active"/>
        <s v="Relieved"/>
      </sharedItems>
    </cacheField>
    <cacheField name="Qualification" numFmtId="0">
      <sharedItems count="2">
        <s v="PG"/>
        <s v="UG"/>
      </sharedItems>
    </cacheField>
    <cacheField name="Shift Details" numFmtId="0">
      <sharedItems count="3">
        <s v="Day"/>
        <s v="Night"/>
        <s v="Mid"/>
      </sharedItems>
    </cacheField>
    <cacheField name="PAN" numFmtId="0">
      <sharedItems/>
    </cacheField>
    <cacheField name="Email ID" numFmtId="0">
      <sharedItems/>
    </cacheField>
    <cacheField name="Phone" numFmtId="0">
      <sharedItems/>
    </cacheField>
  </cacheFields>
  <extLst>
    <ext xmlns:x14="http://schemas.microsoft.com/office/spreadsheetml/2009/9/main" uri="{725AE2AE-9491-48be-B2B4-4EB974FC3084}">
      <x14:pivotCacheDefinition pivotCacheId="4647245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G" refreshedDate="46287.300925462965" createdVersion="8" refreshedVersion="8" minRefreshableVersion="3" recordCount="116" xr:uid="{4546BDF8-2E23-416F-BFBA-33F19A4D04AC}">
  <cacheSource type="worksheet">
    <worksheetSource name="tblPayroll"/>
  </cacheSource>
  <cacheFields count="22">
    <cacheField name="Payroll Month" numFmtId="15">
      <sharedItems containsSemiMixedTypes="0" containsNonDate="0" containsDate="1" containsString="0" minDate="2026-01-01T00:00:00" maxDate="2026-03-02T00:00:00" count="3">
        <d v="2026-01-01T00:00:00"/>
        <d v="2026-02-01T00:00:00"/>
        <d v="2026-03-01T00:00:00"/>
      </sharedItems>
    </cacheField>
    <cacheField name="Employee Id" numFmtId="0">
      <sharedItems/>
    </cacheField>
    <cacheField name="Date Of Joining" numFmtId="15">
      <sharedItems containsSemiMixedTypes="0" containsNonDate="0" containsDate="1" containsString="0" minDate="2022-02-01T00:00:00" maxDate="2026-03-25T00:00:00"/>
    </cacheField>
    <cacheField name="Date of Leaving" numFmtId="15">
      <sharedItems containsNonDate="0" containsDate="1" containsString="0" containsBlank="1" minDate="2026-01-19T00:00:00" maxDate="2026-03-18T00:00:00"/>
    </cacheField>
    <cacheField name="Designation" numFmtId="15">
      <sharedItems/>
    </cacheField>
    <cacheField name="Department" numFmtId="15">
      <sharedItems count="5">
        <s v="HR"/>
        <s v="Analytics"/>
        <s v="Payroll"/>
        <s v="Sales"/>
        <s v="Finance"/>
      </sharedItems>
    </cacheField>
    <cacheField name="Location" numFmtId="15">
      <sharedItems count="5">
        <s v="Bangalore"/>
        <s v="Chennai"/>
        <s v="Mumbai"/>
        <s v="Kolkata"/>
        <s v="Hyderabad"/>
      </sharedItems>
    </cacheField>
    <cacheField name="LOP Days" numFmtId="0">
      <sharedItems containsSemiMixedTypes="0" containsString="0" containsNumber="1" containsInteger="1" minValue="0" maxValue="11"/>
    </cacheField>
    <cacheField name="Pay Days" numFmtId="0">
      <sharedItems containsSemiMixedTypes="0" containsString="0" containsNumber="1" containsInteger="1" minValue="2" maxValue="31"/>
    </cacheField>
    <cacheField name="OT Hours" numFmtId="0">
      <sharedItems containsSemiMixedTypes="0" containsString="0" containsNumber="1" containsInteger="1" minValue="0" maxValue="25"/>
    </cacheField>
    <cacheField name="Basic" numFmtId="4">
      <sharedItems containsSemiMixedTypes="0" containsString="0" containsNumber="1" containsInteger="1" minValue="3145" maxValue="104167"/>
    </cacheField>
    <cacheField name="HRA" numFmtId="4">
      <sharedItems containsSemiMixedTypes="0" containsString="0" containsNumber="1" containsInteger="1" minValue="1258" maxValue="41667"/>
    </cacheField>
    <cacheField name="Special Allowance" numFmtId="4">
      <sharedItems containsSemiMixedTypes="0" containsString="0" containsNumber="1" containsInteger="1" minValue="1429" maxValue="49999"/>
    </cacheField>
    <cacheField name="Fuel Allowance" numFmtId="4">
      <sharedItems containsSemiMixedTypes="0" containsString="0" containsNumber="1" containsInteger="1" minValue="0" maxValue="2000"/>
    </cacheField>
    <cacheField name="Internet Allowance" numFmtId="4">
      <sharedItems containsSemiMixedTypes="0" containsString="0" containsNumber="1" containsInteger="1" minValue="0" maxValue="1000"/>
    </cacheField>
    <cacheField name="Overtime Pay" numFmtId="4">
      <sharedItems containsSemiMixedTypes="0" containsString="0" containsNumber="1" containsInteger="1" minValue="0" maxValue="16616"/>
    </cacheField>
    <cacheField name="Target Incentive" numFmtId="4">
      <sharedItems containsSemiMixedTypes="0" containsString="0" containsNumber="1" containsInteger="1" minValue="0" maxValue="38500"/>
    </cacheField>
    <cacheField name="Gross Salary" numFmtId="4">
      <sharedItems containsSemiMixedTypes="0" containsString="0" containsNumber="1" containsInteger="1" minValue="11776" maxValue="212116"/>
    </cacheField>
    <cacheField name="Employee PF" numFmtId="4">
      <sharedItems containsSemiMixedTypes="0" containsString="0" containsNumber="1" containsInteger="1" minValue="377" maxValue="12500"/>
    </cacheField>
    <cacheField name="Income Tax" numFmtId="4">
      <sharedItems containsSemiMixedTypes="0" containsString="0" containsNumber="1" containsInteger="1" minValue="0" maxValue="63635"/>
    </cacheField>
    <cacheField name="Loan Deduction" numFmtId="4">
      <sharedItems containsSemiMixedTypes="0" containsString="0" containsNumber="1" containsInteger="1" minValue="0" maxValue="14800"/>
    </cacheField>
    <cacheField name="Net Salary" numFmtId="4">
      <sharedItems containsSemiMixedTypes="0" containsString="0" containsNumber="1" containsInteger="1" minValue="-3001" maxValue="137981"/>
    </cacheField>
  </cacheFields>
  <extLst>
    <ext xmlns:x14="http://schemas.microsoft.com/office/spreadsheetml/2009/9/main" uri="{725AE2AE-9491-48be-B2B4-4EB974FC3084}">
      <x14:pivotCacheDefinition pivotCacheId="1105038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ASG0001"/>
    <s v="Ajay"/>
    <s v="Sharma"/>
    <x v="0"/>
    <s v="Single"/>
    <n v="48"/>
    <d v="1978-07-07T00:00:00"/>
    <x v="0"/>
    <m/>
    <s v="HR Manager"/>
    <x v="0"/>
    <s v="CEO"/>
    <x v="0"/>
    <x v="0"/>
    <x v="0"/>
    <x v="0"/>
    <s v="BEJNS1637K"/>
    <s v="ajay.sharma@asg.com"/>
    <s v="9100013338"/>
  </r>
  <r>
    <s v="ASG0002"/>
    <s v="Priya"/>
    <s v="Kumar"/>
    <x v="1"/>
    <s v="Married"/>
    <n v="46"/>
    <d v="1979-11-07T00:00:00"/>
    <x v="1"/>
    <m/>
    <s v="Analytics Manager"/>
    <x v="1"/>
    <s v="CEO"/>
    <x v="1"/>
    <x v="0"/>
    <x v="0"/>
    <x v="0"/>
    <s v="EHMRV2048G"/>
    <s v="priya.kumar@asg.com"/>
    <s v="9100053364"/>
  </r>
  <r>
    <s v="ASG0003"/>
    <s v="Aarav"/>
    <s v="Pillai"/>
    <x v="0"/>
    <s v="Single"/>
    <n v="44"/>
    <d v="1982-02-17T00:00:00"/>
    <x v="2"/>
    <m/>
    <s v="HR Manager"/>
    <x v="0"/>
    <s v="CEO"/>
    <x v="0"/>
    <x v="0"/>
    <x v="0"/>
    <x v="0"/>
    <s v="KNSWA2733T"/>
    <s v="aarav.pillai@asg.com"/>
    <s v="9100120114"/>
  </r>
  <r>
    <s v="ASG0004"/>
    <s v="Pooja"/>
    <s v="Reddy"/>
    <x v="1"/>
    <s v="Single"/>
    <n v="35"/>
    <d v="1991-05-07T00:00:00"/>
    <x v="3"/>
    <d v="2025-08-17T00:00:00"/>
    <s v="BI Developer"/>
    <x v="1"/>
    <s v="ASG0002"/>
    <x v="2"/>
    <x v="1"/>
    <x v="0"/>
    <x v="1"/>
    <s v="LPTXB2870A"/>
    <s v="pooja.reddy@asg.com"/>
    <s v="9100133470"/>
  </r>
  <r>
    <s v="ASG0005"/>
    <s v="Tarun"/>
    <s v="Shah"/>
    <x v="0"/>
    <s v="Married"/>
    <n v="34"/>
    <d v="1992-04-29T00:00:00"/>
    <x v="4"/>
    <m/>
    <s v="Payroll Manager"/>
    <x v="2"/>
    <s v="CEO"/>
    <x v="1"/>
    <x v="0"/>
    <x v="0"/>
    <x v="0"/>
    <s v="NRVZD3144Q"/>
    <s v="tarun.shah@asg.com"/>
    <s v="9100160188"/>
  </r>
  <r>
    <s v="ASG0006"/>
    <s v="Varun"/>
    <s v="Iyer"/>
    <x v="0"/>
    <s v="Single"/>
    <n v="33"/>
    <d v="1993-04-05T00:00:00"/>
    <x v="5"/>
    <m/>
    <s v="Senior Payroll Analyst"/>
    <x v="2"/>
    <s v="ASG0005"/>
    <x v="2"/>
    <x v="0"/>
    <x v="0"/>
    <x v="2"/>
    <s v="QTXBF3418E"/>
    <s v="varun.iyer@asg.com"/>
    <s v="9100186914"/>
  </r>
  <r>
    <s v="ASG0007"/>
    <s v="Sachin"/>
    <s v="Sinha"/>
    <x v="0"/>
    <s v="Single"/>
    <n v="32"/>
    <d v="1993-11-23T00:00:00"/>
    <x v="6"/>
    <d v="2025-10-21T00:00:00"/>
    <s v="Senior Payroll Analyst"/>
    <x v="2"/>
    <s v="ASG0005"/>
    <x v="1"/>
    <x v="1"/>
    <x v="1"/>
    <x v="1"/>
    <s v="WZDHM4240Y"/>
    <s v="sachin.sinha@asg.com"/>
    <s v="9100253764"/>
  </r>
  <r>
    <s v="ASG0008"/>
    <s v="Rajesh"/>
    <s v="Mishra"/>
    <x v="0"/>
    <s v="Single"/>
    <n v="33"/>
    <d v="1993-06-03T00:00:00"/>
    <x v="7"/>
    <m/>
    <s v="Sales Manager"/>
    <x v="3"/>
    <s v="CEO"/>
    <x v="3"/>
    <x v="0"/>
    <x v="0"/>
    <x v="0"/>
    <s v="YBFKP4514N"/>
    <s v="rajesh.mishra@asg.com"/>
    <s v="9100280518"/>
  </r>
  <r>
    <s v="ASG0009"/>
    <s v="Arnav"/>
    <s v="Pandey"/>
    <x v="0"/>
    <s v="Married"/>
    <n v="32"/>
    <d v="1994-04-05T00:00:00"/>
    <x v="8"/>
    <m/>
    <s v="Regional Sales Lead"/>
    <x v="3"/>
    <s v="ASG0008"/>
    <x v="4"/>
    <x v="0"/>
    <x v="0"/>
    <x v="0"/>
    <s v="DGLQU5199Z"/>
    <s v="arnav.pandey@asg.com"/>
    <s v="9100347438"/>
  </r>
  <r>
    <s v="ASG0010"/>
    <s v="Tushar"/>
    <s v="Arora"/>
    <x v="0"/>
    <s v="Single"/>
    <n v="32"/>
    <d v="1993-12-06T00:00:00"/>
    <x v="9"/>
    <m/>
    <s v="Finance Manager"/>
    <x v="4"/>
    <s v="CEO"/>
    <x v="2"/>
    <x v="0"/>
    <x v="0"/>
    <x v="0"/>
    <s v="GKPTX5610W"/>
    <s v="tushar.arora@asg.com"/>
    <s v="9100387614"/>
  </r>
  <r>
    <s v="ASG0011"/>
    <s v="Nidhi"/>
    <s v="Nayak"/>
    <x v="1"/>
    <s v="Single"/>
    <n v="31"/>
    <d v="1995-02-23T00:00:00"/>
    <x v="10"/>
    <d v="2025-11-18T00:00:00"/>
    <s v="Regional Sales Lead"/>
    <x v="3"/>
    <s v="ASG0008"/>
    <x v="4"/>
    <x v="1"/>
    <x v="0"/>
    <x v="0"/>
    <s v="MQUYC6295H"/>
    <s v="nidhi.nayak@asg.com"/>
    <s v="9100494838"/>
  </r>
  <r>
    <s v="ASG0012"/>
    <s v="Manish"/>
    <s v="Hegde"/>
    <x v="0"/>
    <s v="Single"/>
    <n v="30"/>
    <d v="1996-04-25T00:00:00"/>
    <x v="11"/>
    <m/>
    <s v="Senior Sales Executive"/>
    <x v="3"/>
    <s v="ASG0009"/>
    <x v="1"/>
    <x v="0"/>
    <x v="0"/>
    <x v="0"/>
    <s v="NRVZD6432Q"/>
    <s v="manish.hegde@asg.com"/>
    <s v="9100508250"/>
  </r>
  <r>
    <s v="ASG0013"/>
    <s v="Piyush"/>
    <s v="Shetty"/>
    <x v="0"/>
    <s v="Single"/>
    <n v="31"/>
    <d v="1995-06-19T00:00:00"/>
    <x v="12"/>
    <m/>
    <s v="Senior Data Analyst"/>
    <x v="1"/>
    <s v="ASG0002"/>
    <x v="0"/>
    <x v="0"/>
    <x v="0"/>
    <x v="0"/>
    <s v="PSWAE6569X"/>
    <s v="piyush.shetty@asg.com"/>
    <s v="9100521664"/>
  </r>
  <r>
    <s v="ASG0014"/>
    <s v="Shruti"/>
    <s v="Gowda"/>
    <x v="1"/>
    <s v="Single"/>
    <n v="30"/>
    <d v="1996-06-12T00:00:00"/>
    <x v="13"/>
    <d v="2025-09-19T00:00:00"/>
    <s v="Payroll Analyst"/>
    <x v="2"/>
    <s v="ASG0006"/>
    <x v="3"/>
    <x v="1"/>
    <x v="1"/>
    <x v="2"/>
    <s v="QTXBF6706E"/>
    <s v="shruti.gowda@asg.com"/>
    <s v="9100535080"/>
  </r>
  <r>
    <s v="ASG0015"/>
    <s v="Sumit"/>
    <s v="Garg"/>
    <x v="0"/>
    <s v="Single"/>
    <n v="29"/>
    <d v="1997-05-03T00:00:00"/>
    <x v="14"/>
    <m/>
    <s v="Senior Data Analyst"/>
    <x v="1"/>
    <s v="ASG0002"/>
    <x v="4"/>
    <x v="0"/>
    <x v="0"/>
    <x v="2"/>
    <s v="RUYCG6843M"/>
    <s v="sumit.garg@asg.com"/>
    <s v="9100548498"/>
  </r>
  <r>
    <s v="ASG0016"/>
    <s v="Saurab"/>
    <s v="Bansal"/>
    <x v="0"/>
    <s v="Single"/>
    <n v="28"/>
    <d v="1998-03-01T00:00:00"/>
    <x v="15"/>
    <m/>
    <s v="Senior Data Analyst"/>
    <x v="1"/>
    <s v="ASG0002"/>
    <x v="0"/>
    <x v="0"/>
    <x v="0"/>
    <x v="1"/>
    <s v="TWAEJ7117B"/>
    <s v="saurab.bansal@asg.com"/>
    <s v="9100575340"/>
  </r>
  <r>
    <s v="ASG0017"/>
    <s v="Yuvraj"/>
    <s v="Saxena"/>
    <x v="0"/>
    <s v="Single"/>
    <n v="28"/>
    <d v="1997-07-20T00:00:00"/>
    <x v="16"/>
    <d v="2026-02-02T00:00:00"/>
    <s v="Sr Accountant"/>
    <x v="4"/>
    <s v="ASG0010"/>
    <x v="1"/>
    <x v="1"/>
    <x v="0"/>
    <x v="2"/>
    <s v="WZDHM7528Y"/>
    <s v="yuvraj.saxena@asg.com"/>
    <s v="9100615618"/>
  </r>
  <r>
    <s v="ASG0018"/>
    <s v="Pranav"/>
    <s v="Tripathi"/>
    <x v="0"/>
    <s v="Single"/>
    <n v="28"/>
    <d v="1998-01-23T00:00:00"/>
    <x v="17"/>
    <m/>
    <s v="Sr Accountant"/>
    <x v="4"/>
    <s v="ASG0010"/>
    <x v="0"/>
    <x v="0"/>
    <x v="0"/>
    <x v="0"/>
    <s v="XAEJN7665F"/>
    <s v="pranav.tripathi@asg.com"/>
    <s v="9100629048"/>
  </r>
  <r>
    <s v="ASG0019"/>
    <s v="Simran"/>
    <s v="Jain"/>
    <x v="1"/>
    <s v="Single"/>
    <n v="28"/>
    <d v="1997-12-21T00:00:00"/>
    <x v="18"/>
    <m/>
    <s v="Senior Sales Executive"/>
    <x v="3"/>
    <s v="ASG0009"/>
    <x v="2"/>
    <x v="0"/>
    <x v="1"/>
    <x v="2"/>
    <s v="YBFKP7802N"/>
    <s v="simran.jain@asg.com"/>
    <s v="9100642480"/>
  </r>
  <r>
    <s v="ASG0020"/>
    <s v="Kartik"/>
    <s v="Batra"/>
    <x v="0"/>
    <s v="Single"/>
    <n v="28"/>
    <d v="1997-08-02T00:00:00"/>
    <x v="19"/>
    <m/>
    <s v="Sales Executive"/>
    <x v="3"/>
    <s v="ASG0012"/>
    <x v="3"/>
    <x v="0"/>
    <x v="1"/>
    <x v="0"/>
    <s v="CFKPT8350S"/>
    <s v="kartik.batra@asg.com"/>
    <s v="9100736560"/>
  </r>
  <r>
    <s v="ASG0021"/>
    <s v="Ritesh"/>
    <s v="Luthra"/>
    <x v="0"/>
    <s v="Single"/>
    <n v="27"/>
    <d v="1998-07-17T00:00:00"/>
    <x v="20"/>
    <d v="2025-10-20T00:00:00"/>
    <s v="Payroll Analyst"/>
    <x v="2"/>
    <s v="ASG0006"/>
    <x v="4"/>
    <x v="1"/>
    <x v="0"/>
    <x v="1"/>
    <s v="EHMRV8624G"/>
    <s v="ritesh.luthra@asg.com"/>
    <s v="9100750008"/>
  </r>
  <r>
    <s v="ASG0022"/>
    <s v="Lokesh"/>
    <s v="Ahuja"/>
    <x v="0"/>
    <s v="Single"/>
    <n v="27"/>
    <d v="1999-04-05T00:00:00"/>
    <x v="21"/>
    <m/>
    <s v="Payroll Analyst"/>
    <x v="2"/>
    <s v="ASG0006"/>
    <x v="2"/>
    <x v="0"/>
    <x v="1"/>
    <x v="2"/>
    <s v="GKPTX8898W"/>
    <s v="lokesh.ahuja@asg.com"/>
    <s v="9100776910"/>
  </r>
  <r>
    <s v="ASG0023"/>
    <s v="Sonia"/>
    <s v="Khanna"/>
    <x v="1"/>
    <s v="Single"/>
    <n v="27"/>
    <d v="1998-10-01T00:00:00"/>
    <x v="22"/>
    <m/>
    <s v="HR Analyst"/>
    <x v="0"/>
    <s v="ASG0001"/>
    <x v="4"/>
    <x v="0"/>
    <x v="0"/>
    <x v="2"/>
    <s v="HLQUY9035D"/>
    <s v="sonia.khanna@asg.com"/>
    <s v="9100790364"/>
  </r>
  <r>
    <s v="ASG0024"/>
    <s v="Parth"/>
    <s v="Madaan"/>
    <x v="0"/>
    <s v="Married"/>
    <n v="26"/>
    <d v="2000-01-02T00:00:00"/>
    <x v="23"/>
    <d v="2026-03-03T00:00:00"/>
    <s v="Accounts Executive"/>
    <x v="4"/>
    <s v="ASG0018"/>
    <x v="3"/>
    <x v="1"/>
    <x v="0"/>
    <x v="0"/>
    <s v="YBFKP2090N"/>
    <s v="parth.madaan@asg.com"/>
    <s v="9100803820"/>
  </r>
  <r>
    <s v="ASG0025"/>
    <s v="Akshay"/>
    <s v="Mohan"/>
    <x v="0"/>
    <s v="Single"/>
    <n v="26"/>
    <d v="2000-03-29T00:00:00"/>
    <x v="24"/>
    <m/>
    <s v="Accounts Executive"/>
    <x v="4"/>
    <s v="ASG0018"/>
    <x v="1"/>
    <x v="0"/>
    <x v="0"/>
    <x v="2"/>
    <s v="NRVZD9720Q"/>
    <s v="akshay.mohan@asg.com"/>
    <s v="9100884598"/>
  </r>
  <r>
    <s v="ASG0026"/>
    <s v="Sanjay"/>
    <s v="Lal"/>
    <x v="0"/>
    <s v="Single"/>
    <n v="26"/>
    <d v="1999-10-13T00:00:00"/>
    <x v="25"/>
    <d v="2025-12-21T00:00:00"/>
    <s v="Sales Executive"/>
    <x v="3"/>
    <s v="ASG0019"/>
    <x v="0"/>
    <x v="1"/>
    <x v="1"/>
    <x v="2"/>
    <s v="PSWAE9857X"/>
    <s v="sanjay.lal@asg.com"/>
    <s v="9100898068"/>
  </r>
  <r>
    <s v="ASG0027"/>
    <s v="Ashwin"/>
    <s v="Gill"/>
    <x v="0"/>
    <s v="Single"/>
    <n v="28"/>
    <d v="1998-05-20T00:00:00"/>
    <x v="26"/>
    <m/>
    <s v="HR Analyst"/>
    <x v="0"/>
    <s v="ASG0003"/>
    <x v="2"/>
    <x v="0"/>
    <x v="0"/>
    <x v="0"/>
    <s v="QTXBF9994E"/>
    <s v="ashwin.gill@asg.com"/>
    <s v="9100911540"/>
  </r>
  <r>
    <s v="ASG0028"/>
    <s v="Naveen"/>
    <s v="Samant"/>
    <x v="0"/>
    <s v="Single"/>
    <n v="27"/>
    <d v="1999-06-07T00:00:00"/>
    <x v="27"/>
    <m/>
    <s v="Sales Trainee"/>
    <x v="3"/>
    <s v="ASG0012"/>
    <x v="4"/>
    <x v="0"/>
    <x v="1"/>
    <x v="0"/>
    <s v="RUYCG1131M"/>
    <s v="naveen.samant@asg.com"/>
    <s v="9100925014"/>
  </r>
  <r>
    <s v="ASG0029"/>
    <s v="Girish"/>
    <s v="Mistry"/>
    <x v="0"/>
    <s v="Single"/>
    <n v="26"/>
    <d v="2000-03-12T00:00:00"/>
    <x v="28"/>
    <m/>
    <s v="Payroll Analyst"/>
    <x v="2"/>
    <s v="ASG0006"/>
    <x v="3"/>
    <x v="0"/>
    <x v="1"/>
    <x v="1"/>
    <s v="UXBFK1542J"/>
    <s v="girish.mistry@asg.com"/>
    <s v="9100965448"/>
  </r>
  <r>
    <s v="ASG0030"/>
    <s v="Kavya"/>
    <s v="Shroff"/>
    <x v="1"/>
    <s v="Single"/>
    <n v="26"/>
    <d v="1999-12-02T00:00:00"/>
    <x v="29"/>
    <d v="2026-03-17T00:00:00"/>
    <s v="Senior Data Analyst"/>
    <x v="1"/>
    <s v="ASG0002"/>
    <x v="4"/>
    <x v="1"/>
    <x v="0"/>
    <x v="0"/>
    <s v="ZCGLQ2227V"/>
    <s v="kavya.shroff@asg.com"/>
    <s v="9100992414"/>
  </r>
  <r>
    <s v="ASG0031"/>
    <s v="Harish"/>
    <s v="Dalal"/>
    <x v="0"/>
    <s v="Single"/>
    <n v="26"/>
    <d v="2000-05-17T00:00:00"/>
    <x v="30"/>
    <m/>
    <s v="Accounts Executive"/>
    <x v="4"/>
    <s v="ASG0018"/>
    <x v="0"/>
    <x v="0"/>
    <x v="1"/>
    <x v="2"/>
    <s v="BEJNS2501K"/>
    <s v="harish.dalal@asg.com"/>
    <s v="9101005900"/>
  </r>
  <r>
    <s v="ASG0032"/>
    <s v="Ramesh"/>
    <s v="Sibal"/>
    <x v="0"/>
    <s v="Married"/>
    <n v="25"/>
    <d v="2000-08-16T00:00:00"/>
    <x v="31"/>
    <m/>
    <s v="HR Executive"/>
    <x v="0"/>
    <s v="ASG0023"/>
    <x v="1"/>
    <x v="0"/>
    <x v="0"/>
    <x v="2"/>
    <s v="SVZDH4556U"/>
    <s v="ramesh.sibal@asg.com"/>
    <s v="9101032878"/>
  </r>
  <r>
    <s v="ASG0033"/>
    <s v="Nisha"/>
    <s v="Madan"/>
    <x v="1"/>
    <s v="Married"/>
    <n v="25"/>
    <d v="2001-02-13T00:00:00"/>
    <x v="32"/>
    <m/>
    <s v="Data Analyst"/>
    <x v="1"/>
    <s v="ASG0013"/>
    <x v="0"/>
    <x v="0"/>
    <x v="1"/>
    <x v="0"/>
    <s v="TWAEJ4693B"/>
    <s v="nisha.madan@asg.com"/>
    <s v="9101046370"/>
  </r>
  <r>
    <s v="ASG0034"/>
    <s v="Dinesh"/>
    <s v="Kohli"/>
    <x v="0"/>
    <s v="Single"/>
    <n v="25"/>
    <d v="2000-09-15T00:00:00"/>
    <x v="33"/>
    <d v="2026-01-19T00:00:00"/>
    <s v="HR Executive"/>
    <x v="0"/>
    <s v="ASG0027"/>
    <x v="1"/>
    <x v="1"/>
    <x v="1"/>
    <x v="0"/>
    <s v="ADHMR2364C"/>
    <s v="dinesh.kohli@asg.com"/>
    <s v="9101059864"/>
  </r>
  <r>
    <s v="ASG0035"/>
    <s v="Sunil"/>
    <s v="Jolly"/>
    <x v="0"/>
    <s v="Single"/>
    <n v="25"/>
    <d v="2001-01-01T00:00:00"/>
    <x v="34"/>
    <m/>
    <s v="HR Executive"/>
    <x v="0"/>
    <s v="ASG0027"/>
    <x v="2"/>
    <x v="0"/>
    <x v="1"/>
    <x v="0"/>
    <s v="CFKPT2638S"/>
    <s v="sunil.jolly@asg.com"/>
    <s v="9101073360"/>
  </r>
  <r>
    <s v="ASG0036"/>
    <s v="Bikram"/>
    <s v="Monga"/>
    <x v="0"/>
    <s v="Single"/>
    <n v="26"/>
    <d v="2000-06-01T00:00:00"/>
    <x v="35"/>
    <m/>
    <s v="Payroll Executive"/>
    <x v="2"/>
    <s v="ASG0022"/>
    <x v="1"/>
    <x v="0"/>
    <x v="1"/>
    <x v="2"/>
    <s v="EHMRV2912G"/>
    <s v="bikram.monga@asg.com"/>
    <s v="9101100358"/>
  </r>
  <r>
    <s v="ASG0037"/>
    <s v="Pratik"/>
    <s v="Nanda"/>
    <x v="0"/>
    <s v="Single"/>
    <n v="25"/>
    <d v="2000-11-30T00:00:00"/>
    <x v="36"/>
    <d v="2025-12-17T00:00:00"/>
    <s v="Accounts Trainee"/>
    <x v="4"/>
    <s v="ASG0018"/>
    <x v="0"/>
    <x v="1"/>
    <x v="1"/>
    <x v="0"/>
    <s v="FJNSW3049P"/>
    <s v="pratik.nanda@asg.com"/>
    <s v="9101113860"/>
  </r>
  <r>
    <s v="ASG0038"/>
    <s v="Rohini"/>
    <s v="Suri"/>
    <x v="1"/>
    <s v="Single"/>
    <n v="25"/>
    <d v="2001-02-04T00:00:00"/>
    <x v="37"/>
    <m/>
    <s v="Accounts Trainee"/>
    <x v="4"/>
    <s v="ASG0018"/>
    <x v="2"/>
    <x v="0"/>
    <x v="1"/>
    <x v="2"/>
    <s v="GKPTX3186W"/>
    <s v="rohini.suri@asg.com"/>
    <s v="9101127364"/>
  </r>
  <r>
    <s v="ASG0039"/>
    <s v="Abhinav"/>
    <s v="Khera"/>
    <x v="0"/>
    <s v="Single"/>
    <n v="25"/>
    <d v="2001-02-15T00:00:00"/>
    <x v="38"/>
    <m/>
    <s v="BI Developer"/>
    <x v="1"/>
    <s v="ASG0002"/>
    <x v="3"/>
    <x v="0"/>
    <x v="1"/>
    <x v="1"/>
    <s v="UXBFK4830J"/>
    <s v="abhinav.khera@asg.com"/>
    <s v="9101140870"/>
  </r>
  <r>
    <s v="ASG0040"/>
    <s v="Vikram"/>
    <s v="Bedi"/>
    <x v="0"/>
    <s v="Single"/>
    <n v="25"/>
    <d v="2001-04-08T00:00:00"/>
    <x v="39"/>
    <d v="2026-02-24T00:00:00"/>
    <s v="Payroll Executive"/>
    <x v="2"/>
    <s v="ASG0029"/>
    <x v="2"/>
    <x v="1"/>
    <x v="1"/>
    <x v="1"/>
    <s v="LPTXB3734A"/>
    <s v="vikram.bedi@asg.com"/>
    <s v="9101167888"/>
  </r>
  <r>
    <s v="ASG0041"/>
    <s v="Swati"/>
    <s v="Chadha"/>
    <x v="1"/>
    <s v="Single"/>
    <n v="25"/>
    <d v="2001-02-25T00:00:00"/>
    <x v="40"/>
    <m/>
    <s v="Data Analyst"/>
    <x v="1"/>
    <s v="ASG0015"/>
    <x v="1"/>
    <x v="0"/>
    <x v="0"/>
    <x v="2"/>
    <s v="NRVZD4008Q"/>
    <s v="swati.chadha@asg.com"/>
    <s v="9101194914"/>
  </r>
  <r>
    <s v="ASG0042"/>
    <s v="Naresh"/>
    <s v="Rajput"/>
    <x v="0"/>
    <s v="Single"/>
    <n v="25"/>
    <d v="2001-02-08T00:00:00"/>
    <x v="41"/>
    <m/>
    <s v="Sales Trainee"/>
    <x v="3"/>
    <s v="ASG0012"/>
    <x v="1"/>
    <x v="0"/>
    <x v="1"/>
    <x v="0"/>
    <s v="WZDHM5104Y"/>
    <s v="naresh.rajput@asg.com"/>
    <s v="9101235468"/>
  </r>
  <r>
    <s v="ASG0043"/>
    <s v="Preeti"/>
    <s v="Chauhan"/>
    <x v="1"/>
    <s v="Single"/>
    <n v="25"/>
    <d v="2001-05-22T00:00:00"/>
    <x v="42"/>
    <m/>
    <s v="HR Executive"/>
    <x v="0"/>
    <s v="ASG0023"/>
    <x v="0"/>
    <x v="0"/>
    <x v="0"/>
    <x v="2"/>
    <s v="XAEJN5241F"/>
    <s v="preeti.chauhan@asg.com"/>
    <s v="9101248990"/>
  </r>
  <r>
    <s v="ASG0044"/>
    <s v="Devraj"/>
    <s v="Thakur"/>
    <x v="0"/>
    <s v="Single"/>
    <n v="24"/>
    <d v="2002-04-25T00:00:00"/>
    <x v="43"/>
    <m/>
    <s v="Data Analyst"/>
    <x v="1"/>
    <s v="ASG0016"/>
    <x v="3"/>
    <x v="0"/>
    <x v="0"/>
    <x v="1"/>
    <s v="YBFKP5378N"/>
    <s v="devraj.thakur@asg.com"/>
    <s v="9101262514"/>
  </r>
  <r>
    <s v="ASG0045"/>
    <s v="Paresh"/>
    <s v="Rana"/>
    <x v="0"/>
    <s v="Single"/>
    <n v="24"/>
    <d v="2001-10-18T00:00:00"/>
    <x v="44"/>
    <m/>
    <s v="Accounts Trainee"/>
    <x v="4"/>
    <s v="ASG0018"/>
    <x v="4"/>
    <x v="0"/>
    <x v="1"/>
    <x v="0"/>
    <s v="ZCGLQ5515V"/>
    <s v="paresh.rana@asg.com"/>
    <s v="9101276040"/>
  </r>
  <r>
    <s v="ASG0046"/>
    <s v="Usha"/>
    <s v="Malhotra"/>
    <x v="1"/>
    <s v="Single"/>
    <n v="24"/>
    <d v="2002-04-02T00:00:00"/>
    <x v="45"/>
    <m/>
    <s v="HR Executive"/>
    <x v="0"/>
    <s v="ASG0023"/>
    <x v="1"/>
    <x v="0"/>
    <x v="1"/>
    <x v="0"/>
    <s v="ADHMR5652C"/>
    <s v="usha.malhotra@asg.com"/>
    <s v="9101289568"/>
  </r>
  <r>
    <s v="ASG0047"/>
    <s v="Ambar"/>
    <s v="Biswas"/>
    <x v="0"/>
    <s v="Single"/>
    <n v="24"/>
    <d v="2001-12-10T00:00:00"/>
    <x v="46"/>
    <m/>
    <s v="HR Executive"/>
    <x v="0"/>
    <s v="ASG0027"/>
    <x v="0"/>
    <x v="0"/>
    <x v="0"/>
    <x v="0"/>
    <s v="BEJNS5789K"/>
    <s v="ambar.biswas@asg.com"/>
    <s v="9101303098"/>
  </r>
  <r>
    <s v="ASG0048"/>
    <s v="Nakul"/>
    <s v="Datta"/>
    <x v="0"/>
    <s v="Single"/>
    <n v="25"/>
    <d v="2001-07-07T00:00:00"/>
    <x v="47"/>
    <m/>
    <s v="Accounts Trainee"/>
    <x v="4"/>
    <s v="ASG0018"/>
    <x v="2"/>
    <x v="0"/>
    <x v="1"/>
    <x v="2"/>
    <s v="CFKPT5926S"/>
    <s v="nakul.datta@asg.com"/>
    <s v="9101316630"/>
  </r>
  <r>
    <s v="ASG0049"/>
    <s v="Bharat"/>
    <s v="Moitra"/>
    <x v="0"/>
    <s v="Single"/>
    <n v="24"/>
    <d v="2002-02-24T00:00:00"/>
    <x v="48"/>
    <m/>
    <s v="Payroll Executive"/>
    <x v="2"/>
    <s v="ASG0029"/>
    <x v="4"/>
    <x v="0"/>
    <x v="1"/>
    <x v="0"/>
    <s v="DGLQU6063Z"/>
    <s v="bharat.moitra@asg.com"/>
    <s v="9101330164"/>
  </r>
  <r>
    <s v="ASG0050"/>
    <s v="Sameer"/>
    <s v="Rathi"/>
    <x v="0"/>
    <s v="Single"/>
    <n v="23"/>
    <d v="2002-07-14T00:00:00"/>
    <x v="49"/>
    <m/>
    <s v="Sales Trainee"/>
    <x v="3"/>
    <s v="ASG0019"/>
    <x v="4"/>
    <x v="0"/>
    <x v="1"/>
    <x v="2"/>
    <s v="VYCGL4967R"/>
    <s v="sameer.rathi@asg.com"/>
    <s v="91013437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s v="ASG0001"/>
    <d v="2022-02-01T00:00:00"/>
    <m/>
    <s v="HR Manager"/>
    <x v="0"/>
    <x v="0"/>
    <n v="6"/>
    <n v="25"/>
    <n v="0"/>
    <n v="62165"/>
    <n v="24866"/>
    <n v="27419"/>
    <n v="1613"/>
    <n v="806"/>
    <n v="0"/>
    <n v="0"/>
    <n v="116869"/>
    <n v="7460"/>
    <n v="35061"/>
    <n v="0"/>
    <n v="74348"/>
  </r>
  <r>
    <x v="0"/>
    <s v="ASG0002"/>
    <d v="2022-02-21T00:00:00"/>
    <m/>
    <s v="Analytics Manager"/>
    <x v="1"/>
    <x v="1"/>
    <n v="10"/>
    <n v="21"/>
    <n v="0"/>
    <n v="70565"/>
    <n v="28226"/>
    <n v="33870"/>
    <n v="0"/>
    <n v="0"/>
    <n v="0"/>
    <n v="0"/>
    <n v="132661"/>
    <n v="8468"/>
    <n v="39798"/>
    <n v="0"/>
    <n v="84395"/>
  </r>
  <r>
    <x v="0"/>
    <s v="ASG0003"/>
    <d v="2022-03-14T00:00:00"/>
    <m/>
    <s v="HR Manager"/>
    <x v="0"/>
    <x v="0"/>
    <n v="0"/>
    <n v="31"/>
    <n v="24"/>
    <n v="72917"/>
    <n v="29167"/>
    <n v="31999"/>
    <n v="2000"/>
    <n v="1000"/>
    <n v="16616"/>
    <n v="0"/>
    <n v="153699"/>
    <n v="8750"/>
    <n v="46110"/>
    <n v="0"/>
    <n v="98839"/>
  </r>
  <r>
    <x v="0"/>
    <s v="ASG0005"/>
    <d v="2022-05-16T00:00:00"/>
    <m/>
    <s v="Payroll Manager"/>
    <x v="2"/>
    <x v="1"/>
    <n v="7"/>
    <n v="24"/>
    <n v="17"/>
    <n v="54839"/>
    <n v="21936"/>
    <n v="23999"/>
    <n v="1548"/>
    <n v="774"/>
    <n v="11434"/>
    <n v="0"/>
    <n v="114530"/>
    <n v="6581"/>
    <n v="34359"/>
    <n v="0"/>
    <n v="73590"/>
  </r>
  <r>
    <x v="0"/>
    <s v="ASG0006"/>
    <d v="2022-05-23T00:00:00"/>
    <m/>
    <s v="Senior Payroll Analyst"/>
    <x v="2"/>
    <x v="2"/>
    <n v="0"/>
    <n v="31"/>
    <n v="0"/>
    <n v="41667"/>
    <n v="16667"/>
    <n v="16999"/>
    <n v="2000"/>
    <n v="1000"/>
    <n v="0"/>
    <n v="0"/>
    <n v="78333"/>
    <n v="5000"/>
    <n v="15667"/>
    <n v="12500"/>
    <n v="45166"/>
  </r>
  <r>
    <x v="0"/>
    <s v="ASG0008"/>
    <d v="2022-11-21T00:00:00"/>
    <m/>
    <s v="Sales Manager"/>
    <x v="3"/>
    <x v="3"/>
    <n v="0"/>
    <n v="31"/>
    <n v="20"/>
    <n v="87500"/>
    <n v="35000"/>
    <n v="39000"/>
    <n v="2000"/>
    <n v="1000"/>
    <n v="16616"/>
    <n v="31000"/>
    <n v="212116"/>
    <n v="10500"/>
    <n v="63635"/>
    <n v="0"/>
    <n v="137981"/>
  </r>
  <r>
    <x v="0"/>
    <s v="ASG0009"/>
    <d v="2022-11-28T00:00:00"/>
    <m/>
    <s v="Regional Sales Lead"/>
    <x v="3"/>
    <x v="4"/>
    <n v="0"/>
    <n v="31"/>
    <n v="19"/>
    <n v="75000"/>
    <n v="30000"/>
    <n v="33000"/>
    <n v="2000"/>
    <n v="1000"/>
    <n v="13530"/>
    <n v="27500"/>
    <n v="182030"/>
    <n v="9000"/>
    <n v="54609"/>
    <n v="0"/>
    <n v="118421"/>
  </r>
  <r>
    <x v="0"/>
    <s v="ASG0010"/>
    <d v="2022-12-12T00:00:00"/>
    <m/>
    <s v="Finance Manager"/>
    <x v="4"/>
    <x v="2"/>
    <n v="0"/>
    <n v="31"/>
    <n v="0"/>
    <n v="72917"/>
    <n v="29167"/>
    <n v="31999"/>
    <n v="2000"/>
    <n v="1000"/>
    <n v="0"/>
    <n v="0"/>
    <n v="137083"/>
    <n v="8750"/>
    <n v="41125"/>
    <n v="0"/>
    <n v="87208"/>
  </r>
  <r>
    <x v="0"/>
    <s v="ASG0012"/>
    <d v="2023-01-30T00:00:00"/>
    <m/>
    <s v="Senior Sales Executive"/>
    <x v="3"/>
    <x v="1"/>
    <n v="6"/>
    <n v="25"/>
    <n v="0"/>
    <n v="38643"/>
    <n v="15457"/>
    <n v="16128"/>
    <n v="1613"/>
    <n v="806"/>
    <n v="0"/>
    <n v="21400"/>
    <n v="94047"/>
    <n v="4637"/>
    <n v="18809"/>
    <n v="0"/>
    <n v="70601"/>
  </r>
  <r>
    <x v="0"/>
    <s v="ASG0013"/>
    <d v="2023-02-06T00:00:00"/>
    <m/>
    <s v="Senior Data Analyst"/>
    <x v="1"/>
    <x v="0"/>
    <n v="0"/>
    <n v="31"/>
    <n v="0"/>
    <n v="64584"/>
    <n v="25834"/>
    <n v="27999"/>
    <n v="2000"/>
    <n v="1000"/>
    <n v="0"/>
    <n v="0"/>
    <n v="121417"/>
    <n v="7750"/>
    <n v="36425"/>
    <n v="0"/>
    <n v="77242"/>
  </r>
  <r>
    <x v="0"/>
    <s v="ASG0015"/>
    <d v="2023-04-17T00:00:00"/>
    <m/>
    <s v="Senior Data Analyst"/>
    <x v="1"/>
    <x v="4"/>
    <n v="0"/>
    <n v="31"/>
    <n v="0"/>
    <n v="61459"/>
    <n v="24584"/>
    <n v="26499"/>
    <n v="2000"/>
    <n v="1000"/>
    <n v="0"/>
    <n v="0"/>
    <n v="115542"/>
    <n v="7375"/>
    <n v="34663"/>
    <n v="0"/>
    <n v="73504"/>
  </r>
  <r>
    <x v="0"/>
    <s v="ASG0016"/>
    <d v="2023-04-24T00:00:00"/>
    <m/>
    <s v="Senior Data Analyst"/>
    <x v="1"/>
    <x v="0"/>
    <n v="0"/>
    <n v="31"/>
    <n v="16"/>
    <n v="78125"/>
    <n v="31250"/>
    <n v="34500"/>
    <n v="2000"/>
    <n v="1000"/>
    <n v="11869"/>
    <n v="0"/>
    <n v="158744"/>
    <n v="9375"/>
    <n v="47623"/>
    <n v="0"/>
    <n v="101746"/>
  </r>
  <r>
    <x v="0"/>
    <s v="ASG0017"/>
    <d v="2023-05-02T00:00:00"/>
    <d v="2026-02-02T00:00:00"/>
    <s v="Sr Accountant"/>
    <x v="4"/>
    <x v="1"/>
    <n v="6"/>
    <n v="25"/>
    <n v="0"/>
    <n v="38643"/>
    <n v="15457"/>
    <n v="16128"/>
    <n v="1613"/>
    <n v="806"/>
    <n v="0"/>
    <n v="0"/>
    <n v="72647"/>
    <n v="4637"/>
    <n v="7265"/>
    <n v="0"/>
    <n v="60745"/>
  </r>
  <r>
    <x v="0"/>
    <s v="ASG0018"/>
    <d v="2023-05-29T00:00:00"/>
    <m/>
    <s v="Sr Accountant"/>
    <x v="4"/>
    <x v="0"/>
    <n v="7"/>
    <n v="24"/>
    <n v="0"/>
    <n v="36290"/>
    <n v="14516"/>
    <n v="15097"/>
    <n v="1548"/>
    <n v="774"/>
    <n v="0"/>
    <n v="0"/>
    <n v="68225"/>
    <n v="4355"/>
    <n v="6823"/>
    <n v="12400"/>
    <n v="44647"/>
  </r>
  <r>
    <x v="0"/>
    <s v="ASG0019"/>
    <d v="2023-09-01T00:00:00"/>
    <m/>
    <s v="Senior Sales Executive"/>
    <x v="3"/>
    <x v="2"/>
    <n v="0"/>
    <n v="31"/>
    <n v="0"/>
    <n v="45834"/>
    <n v="18334"/>
    <n v="18999"/>
    <n v="2000"/>
    <n v="1000"/>
    <n v="0"/>
    <n v="20740"/>
    <n v="106907"/>
    <n v="5500"/>
    <n v="32072"/>
    <n v="11200"/>
    <n v="58135"/>
  </r>
  <r>
    <x v="0"/>
    <s v="ASG0020"/>
    <d v="2023-09-04T00:00:00"/>
    <m/>
    <s v="Sales Executive"/>
    <x v="3"/>
    <x v="3"/>
    <n v="9"/>
    <n v="22"/>
    <n v="0"/>
    <n v="23065"/>
    <n v="9226"/>
    <n v="11071"/>
    <n v="0"/>
    <n v="0"/>
    <n v="0"/>
    <n v="14300"/>
    <n v="57662"/>
    <n v="2768"/>
    <n v="5766"/>
    <n v="0"/>
    <n v="49128"/>
  </r>
  <r>
    <x v="0"/>
    <s v="ASG0022"/>
    <d v="2023-11-06T00:00:00"/>
    <m/>
    <s v="Payroll Analyst"/>
    <x v="2"/>
    <x v="2"/>
    <n v="0"/>
    <n v="31"/>
    <n v="24"/>
    <n v="28334"/>
    <n v="11334"/>
    <n v="13599"/>
    <n v="0"/>
    <n v="0"/>
    <n v="6457"/>
    <n v="0"/>
    <n v="59724"/>
    <n v="3400"/>
    <n v="5972"/>
    <n v="0"/>
    <n v="50352"/>
  </r>
  <r>
    <x v="0"/>
    <s v="ASG0023"/>
    <d v="2024-01-29T00:00:00"/>
    <m/>
    <s v="HR Analyst"/>
    <x v="0"/>
    <x v="4"/>
    <n v="6"/>
    <n v="25"/>
    <n v="0"/>
    <n v="40323"/>
    <n v="16129"/>
    <n v="16935"/>
    <n v="1613"/>
    <n v="806"/>
    <n v="0"/>
    <n v="0"/>
    <n v="75806"/>
    <n v="4839"/>
    <n v="15161"/>
    <n v="13800"/>
    <n v="42006"/>
  </r>
  <r>
    <x v="0"/>
    <s v="ASG0024"/>
    <d v="2024-02-05T00:00:00"/>
    <d v="2026-03-03T00:00:00"/>
    <s v="Accounts Executive"/>
    <x v="4"/>
    <x v="3"/>
    <n v="0"/>
    <n v="31"/>
    <n v="0"/>
    <n v="32500"/>
    <n v="13000"/>
    <n v="15600"/>
    <n v="0"/>
    <n v="0"/>
    <n v="0"/>
    <n v="0"/>
    <n v="61100"/>
    <n v="3900"/>
    <n v="6110"/>
    <n v="0"/>
    <n v="51090"/>
  </r>
  <r>
    <x v="0"/>
    <s v="ASG0025"/>
    <d v="2024-02-06T00:00:00"/>
    <m/>
    <s v="Accounts Executive"/>
    <x v="4"/>
    <x v="1"/>
    <n v="0"/>
    <n v="31"/>
    <n v="0"/>
    <n v="30209"/>
    <n v="12084"/>
    <n v="14499"/>
    <n v="0"/>
    <n v="0"/>
    <n v="0"/>
    <n v="0"/>
    <n v="56792"/>
    <n v="3625"/>
    <n v="5679"/>
    <n v="0"/>
    <n v="47488"/>
  </r>
  <r>
    <x v="0"/>
    <s v="ASG0027"/>
    <d v="2024-05-06T00:00:00"/>
    <m/>
    <s v="HR Analyst"/>
    <x v="0"/>
    <x v="2"/>
    <n v="0"/>
    <n v="31"/>
    <n v="0"/>
    <n v="47917"/>
    <n v="19167"/>
    <n v="19999"/>
    <n v="2000"/>
    <n v="1000"/>
    <n v="0"/>
    <n v="0"/>
    <n v="90083"/>
    <n v="5750"/>
    <n v="18017"/>
    <n v="0"/>
    <n v="66316"/>
  </r>
  <r>
    <x v="0"/>
    <s v="ASG0028"/>
    <d v="2024-07-29T00:00:00"/>
    <m/>
    <s v="Sales Trainee"/>
    <x v="3"/>
    <x v="4"/>
    <n v="0"/>
    <n v="31"/>
    <n v="17"/>
    <n v="18750"/>
    <n v="7500"/>
    <n v="9000"/>
    <n v="0"/>
    <n v="0"/>
    <n v="3027"/>
    <n v="9450"/>
    <n v="47727"/>
    <n v="2250"/>
    <n v="0"/>
    <n v="0"/>
    <n v="45477"/>
  </r>
  <r>
    <x v="0"/>
    <s v="ASG0029"/>
    <d v="2024-08-05T00:00:00"/>
    <m/>
    <s v="Payroll Analyst"/>
    <x v="2"/>
    <x v="3"/>
    <n v="0"/>
    <n v="31"/>
    <n v="0"/>
    <n v="27084"/>
    <n v="10834"/>
    <n v="12999"/>
    <n v="0"/>
    <n v="0"/>
    <n v="0"/>
    <n v="0"/>
    <n v="50917"/>
    <n v="3250"/>
    <n v="5092"/>
    <n v="0"/>
    <n v="42575"/>
  </r>
  <r>
    <x v="0"/>
    <s v="ASG0030"/>
    <d v="2024-09-02T00:00:00"/>
    <d v="2026-03-17T00:00:00"/>
    <s v="Senior Data Analyst"/>
    <x v="1"/>
    <x v="4"/>
    <n v="10"/>
    <n v="21"/>
    <n v="22"/>
    <n v="40504"/>
    <n v="16202"/>
    <n v="17409"/>
    <n v="1355"/>
    <n v="677"/>
    <n v="12490"/>
    <n v="0"/>
    <n v="88637"/>
    <n v="4860"/>
    <n v="17727"/>
    <n v="11100"/>
    <n v="54950"/>
  </r>
  <r>
    <x v="0"/>
    <s v="ASG0031"/>
    <d v="2024-10-14T00:00:00"/>
    <m/>
    <s v="Accounts Executive"/>
    <x v="4"/>
    <x v="0"/>
    <n v="10"/>
    <n v="21"/>
    <n v="17"/>
    <n v="19758"/>
    <n v="7903"/>
    <n v="9483"/>
    <n v="0"/>
    <n v="0"/>
    <n v="4708"/>
    <n v="0"/>
    <n v="41852"/>
    <n v="2371"/>
    <n v="0"/>
    <n v="11400"/>
    <n v="28081"/>
  </r>
  <r>
    <x v="0"/>
    <s v="ASG0032"/>
    <d v="2024-11-11T00:00:00"/>
    <m/>
    <s v="HR Executive"/>
    <x v="0"/>
    <x v="1"/>
    <n v="0"/>
    <n v="31"/>
    <n v="0"/>
    <n v="31250"/>
    <n v="12500"/>
    <n v="15000"/>
    <n v="0"/>
    <n v="0"/>
    <n v="0"/>
    <n v="0"/>
    <n v="58750"/>
    <n v="3750"/>
    <n v="5875"/>
    <n v="0"/>
    <n v="49125"/>
  </r>
  <r>
    <x v="0"/>
    <s v="ASG0033"/>
    <d v="2024-11-18T00:00:00"/>
    <m/>
    <s v="Data Analyst"/>
    <x v="1"/>
    <x v="0"/>
    <n v="0"/>
    <n v="31"/>
    <n v="0"/>
    <n v="52084"/>
    <n v="20834"/>
    <n v="21999"/>
    <n v="2000"/>
    <n v="1000"/>
    <n v="0"/>
    <n v="0"/>
    <n v="97917"/>
    <n v="6250"/>
    <n v="19583"/>
    <n v="0"/>
    <n v="72084"/>
  </r>
  <r>
    <x v="0"/>
    <s v="ASG0034"/>
    <d v="2024-12-23T00:00:00"/>
    <d v="2026-01-19T00:00:00"/>
    <s v="HR Executive"/>
    <x v="0"/>
    <x v="1"/>
    <n v="0"/>
    <n v="19"/>
    <n v="17"/>
    <n v="15961"/>
    <n v="6385"/>
    <n v="7661"/>
    <n v="0"/>
    <n v="0"/>
    <n v="4203"/>
    <n v="0"/>
    <n v="34210"/>
    <n v="1915"/>
    <n v="0"/>
    <n v="0"/>
    <n v="32295"/>
  </r>
  <r>
    <x v="0"/>
    <s v="ASG0035"/>
    <d v="2025-01-06T00:00:00"/>
    <m/>
    <s v="HR Executive"/>
    <x v="0"/>
    <x v="2"/>
    <n v="0"/>
    <n v="31"/>
    <n v="25"/>
    <n v="25000"/>
    <n v="10000"/>
    <n v="12000"/>
    <n v="0"/>
    <n v="0"/>
    <n v="5934"/>
    <n v="0"/>
    <n v="52934"/>
    <n v="3000"/>
    <n v="5293"/>
    <n v="0"/>
    <n v="44641"/>
  </r>
  <r>
    <x v="0"/>
    <s v="ASG0036"/>
    <d v="2025-05-05T00:00:00"/>
    <m/>
    <s v="Payroll Executive"/>
    <x v="2"/>
    <x v="1"/>
    <n v="0"/>
    <n v="31"/>
    <n v="23"/>
    <n v="19792"/>
    <n v="7917"/>
    <n v="9499"/>
    <n v="0"/>
    <n v="0"/>
    <n v="4322"/>
    <n v="0"/>
    <n v="41530"/>
    <n v="2375"/>
    <n v="0"/>
    <n v="0"/>
    <n v="39155"/>
  </r>
  <r>
    <x v="0"/>
    <s v="ASG0038"/>
    <d v="2025-07-14T00:00:00"/>
    <m/>
    <s v="Accounts Trainee"/>
    <x v="4"/>
    <x v="2"/>
    <n v="0"/>
    <n v="31"/>
    <n v="25"/>
    <n v="18750"/>
    <n v="7500"/>
    <n v="9000"/>
    <n v="0"/>
    <n v="0"/>
    <n v="4451"/>
    <n v="0"/>
    <n v="39701"/>
    <n v="2250"/>
    <n v="0"/>
    <n v="0"/>
    <n v="37451"/>
  </r>
  <r>
    <x v="0"/>
    <s v="ASG0039"/>
    <d v="2025-09-01T00:00:00"/>
    <m/>
    <s v="BI Developer"/>
    <x v="1"/>
    <x v="3"/>
    <n v="0"/>
    <n v="31"/>
    <n v="20"/>
    <n v="53125"/>
    <n v="21250"/>
    <n v="22500"/>
    <n v="2000"/>
    <n v="1000"/>
    <n v="10088"/>
    <n v="0"/>
    <n v="109963"/>
    <n v="6375"/>
    <n v="32989"/>
    <n v="0"/>
    <n v="70599"/>
  </r>
  <r>
    <x v="0"/>
    <s v="ASG0040"/>
    <d v="2025-09-08T00:00:00"/>
    <d v="2026-02-24T00:00:00"/>
    <s v="Payroll Executive"/>
    <x v="2"/>
    <x v="2"/>
    <n v="0"/>
    <n v="31"/>
    <n v="0"/>
    <n v="19792"/>
    <n v="7917"/>
    <n v="9499"/>
    <n v="0"/>
    <n v="0"/>
    <n v="0"/>
    <n v="0"/>
    <n v="37208"/>
    <n v="2375"/>
    <n v="0"/>
    <n v="0"/>
    <n v="34833"/>
  </r>
  <r>
    <x v="0"/>
    <s v="ASG0041"/>
    <d v="2025-11-17T00:00:00"/>
    <m/>
    <s v="Data Analyst"/>
    <x v="1"/>
    <x v="1"/>
    <n v="0"/>
    <n v="31"/>
    <n v="18"/>
    <n v="49167"/>
    <n v="19667"/>
    <n v="20599"/>
    <n v="2000"/>
    <n v="1000"/>
    <n v="8403"/>
    <n v="0"/>
    <n v="100836"/>
    <n v="5900"/>
    <n v="30251"/>
    <n v="0"/>
    <n v="64685"/>
  </r>
  <r>
    <x v="0"/>
    <s v="ASG0042"/>
    <d v="2025-12-01T00:00:00"/>
    <m/>
    <s v="Sales Trainee"/>
    <x v="3"/>
    <x v="1"/>
    <n v="0"/>
    <n v="31"/>
    <n v="0"/>
    <n v="18750"/>
    <n v="7500"/>
    <n v="9000"/>
    <n v="0"/>
    <n v="0"/>
    <n v="0"/>
    <n v="8360"/>
    <n v="43610"/>
    <n v="2250"/>
    <n v="0"/>
    <n v="0"/>
    <n v="41360"/>
  </r>
  <r>
    <x v="0"/>
    <s v="ASG0043"/>
    <d v="2026-01-05T00:00:00"/>
    <m/>
    <s v="HR Executive"/>
    <x v="0"/>
    <x v="0"/>
    <n v="0"/>
    <n v="31"/>
    <n v="0"/>
    <n v="23959"/>
    <n v="9584"/>
    <n v="11499"/>
    <n v="0"/>
    <n v="0"/>
    <n v="0"/>
    <n v="0"/>
    <n v="45042"/>
    <n v="2875"/>
    <n v="0"/>
    <n v="0"/>
    <n v="42167"/>
  </r>
  <r>
    <x v="0"/>
    <s v="ASG0044"/>
    <d v="2026-01-19T00:00:00"/>
    <m/>
    <s v="Data Analyst"/>
    <x v="1"/>
    <x v="3"/>
    <n v="6"/>
    <n v="25"/>
    <n v="0"/>
    <n v="38643"/>
    <n v="15457"/>
    <n v="16128"/>
    <n v="1613"/>
    <n v="806"/>
    <n v="0"/>
    <n v="0"/>
    <n v="72647"/>
    <n v="4637"/>
    <n v="7265"/>
    <n v="11500"/>
    <n v="49245"/>
  </r>
  <r>
    <x v="1"/>
    <s v="ASG0001"/>
    <d v="2022-02-01T00:00:00"/>
    <m/>
    <s v="HR Manager"/>
    <x v="0"/>
    <x v="0"/>
    <n v="0"/>
    <n v="28"/>
    <n v="21"/>
    <n v="77084"/>
    <n v="30834"/>
    <n v="33999"/>
    <n v="2000"/>
    <n v="1000"/>
    <n v="15370"/>
    <n v="0"/>
    <n v="160287"/>
    <n v="9250"/>
    <n v="48086"/>
    <n v="11500"/>
    <n v="91451"/>
  </r>
  <r>
    <x v="1"/>
    <s v="ASG0002"/>
    <d v="2022-02-21T00:00:00"/>
    <m/>
    <s v="Analytics Manager"/>
    <x v="1"/>
    <x v="1"/>
    <n v="0"/>
    <n v="28"/>
    <n v="0"/>
    <n v="104167"/>
    <n v="41667"/>
    <n v="49999"/>
    <n v="0"/>
    <n v="0"/>
    <n v="0"/>
    <n v="0"/>
    <n v="195833"/>
    <n v="12500"/>
    <n v="58750"/>
    <n v="0"/>
    <n v="124583"/>
  </r>
  <r>
    <x v="1"/>
    <s v="ASG0003"/>
    <d v="2022-03-14T00:00:00"/>
    <m/>
    <s v="HR Manager"/>
    <x v="0"/>
    <x v="0"/>
    <n v="7"/>
    <n v="21"/>
    <n v="0"/>
    <n v="54688"/>
    <n v="21875"/>
    <n v="23999"/>
    <n v="1500"/>
    <n v="750"/>
    <n v="0"/>
    <n v="0"/>
    <n v="102812"/>
    <n v="6563"/>
    <n v="30844"/>
    <n v="0"/>
    <n v="65405"/>
  </r>
  <r>
    <x v="1"/>
    <s v="ASG0005"/>
    <d v="2022-05-16T00:00:00"/>
    <m/>
    <s v="Payroll Manager"/>
    <x v="2"/>
    <x v="1"/>
    <n v="11"/>
    <n v="17"/>
    <n v="0"/>
    <n v="43006"/>
    <n v="17203"/>
    <n v="18821"/>
    <n v="1214"/>
    <n v="607"/>
    <n v="0"/>
    <n v="0"/>
    <n v="80851"/>
    <n v="5161"/>
    <n v="16170"/>
    <n v="0"/>
    <n v="59520"/>
  </r>
  <r>
    <x v="1"/>
    <s v="ASG0006"/>
    <d v="2022-05-23T00:00:00"/>
    <m/>
    <s v="Senior Payroll Analyst"/>
    <x v="2"/>
    <x v="2"/>
    <n v="0"/>
    <n v="28"/>
    <n v="25"/>
    <n v="41667"/>
    <n v="16667"/>
    <n v="16999"/>
    <n v="2000"/>
    <n v="1000"/>
    <n v="9891"/>
    <n v="0"/>
    <n v="88224"/>
    <n v="5000"/>
    <n v="17645"/>
    <n v="10800"/>
    <n v="54779"/>
  </r>
  <r>
    <x v="1"/>
    <s v="ASG0008"/>
    <d v="2022-11-21T00:00:00"/>
    <m/>
    <s v="Sales Manager"/>
    <x v="3"/>
    <x v="3"/>
    <n v="0"/>
    <n v="28"/>
    <n v="0"/>
    <n v="87500"/>
    <n v="35000"/>
    <n v="39000"/>
    <n v="2000"/>
    <n v="1000"/>
    <n v="0"/>
    <n v="27800"/>
    <n v="192300"/>
    <n v="10500"/>
    <n v="57690"/>
    <n v="0"/>
    <n v="124110"/>
  </r>
  <r>
    <x v="1"/>
    <s v="ASG0009"/>
    <d v="2022-11-28T00:00:00"/>
    <m/>
    <s v="Regional Sales Lead"/>
    <x v="3"/>
    <x v="4"/>
    <n v="0"/>
    <n v="28"/>
    <n v="0"/>
    <n v="75000"/>
    <n v="30000"/>
    <n v="33000"/>
    <n v="2000"/>
    <n v="1000"/>
    <n v="0"/>
    <n v="22880"/>
    <n v="163880"/>
    <n v="9000"/>
    <n v="49164"/>
    <n v="0"/>
    <n v="105716"/>
  </r>
  <r>
    <x v="1"/>
    <s v="ASG0010"/>
    <d v="2022-12-12T00:00:00"/>
    <m/>
    <s v="Finance Manager"/>
    <x v="4"/>
    <x v="2"/>
    <n v="0"/>
    <n v="28"/>
    <n v="0"/>
    <n v="72917"/>
    <n v="29167"/>
    <n v="31999"/>
    <n v="2000"/>
    <n v="1000"/>
    <n v="0"/>
    <n v="0"/>
    <n v="137083"/>
    <n v="8750"/>
    <n v="41125"/>
    <n v="0"/>
    <n v="87208"/>
  </r>
  <r>
    <x v="1"/>
    <s v="ASG0012"/>
    <d v="2023-01-30T00:00:00"/>
    <m/>
    <s v="Senior Sales Executive"/>
    <x v="3"/>
    <x v="1"/>
    <n v="5"/>
    <n v="23"/>
    <n v="20"/>
    <n v="39360"/>
    <n v="15744"/>
    <n v="16428"/>
    <n v="1643"/>
    <n v="821"/>
    <n v="9099"/>
    <n v="18260"/>
    <n v="101355"/>
    <n v="4723"/>
    <n v="30407"/>
    <n v="0"/>
    <n v="66225"/>
  </r>
  <r>
    <x v="1"/>
    <s v="ASG0013"/>
    <d v="2023-02-06T00:00:00"/>
    <m/>
    <s v="Senior Data Analyst"/>
    <x v="1"/>
    <x v="0"/>
    <n v="0"/>
    <n v="28"/>
    <n v="0"/>
    <n v="64584"/>
    <n v="25834"/>
    <n v="27999"/>
    <n v="2000"/>
    <n v="1000"/>
    <n v="0"/>
    <n v="0"/>
    <n v="121417"/>
    <n v="7750"/>
    <n v="36425"/>
    <n v="0"/>
    <n v="77242"/>
  </r>
  <r>
    <x v="1"/>
    <s v="ASG0015"/>
    <d v="2023-04-17T00:00:00"/>
    <m/>
    <s v="Senior Data Analyst"/>
    <x v="1"/>
    <x v="4"/>
    <n v="0"/>
    <n v="28"/>
    <n v="0"/>
    <n v="61459"/>
    <n v="24584"/>
    <n v="26499"/>
    <n v="2000"/>
    <n v="1000"/>
    <n v="0"/>
    <n v="0"/>
    <n v="115542"/>
    <n v="7375"/>
    <n v="34663"/>
    <n v="0"/>
    <n v="73504"/>
  </r>
  <r>
    <x v="1"/>
    <s v="ASG0016"/>
    <d v="2023-04-24T00:00:00"/>
    <m/>
    <s v="Senior Data Analyst"/>
    <x v="1"/>
    <x v="0"/>
    <n v="0"/>
    <n v="28"/>
    <n v="0"/>
    <n v="78125"/>
    <n v="31250"/>
    <n v="34500"/>
    <n v="2000"/>
    <n v="1000"/>
    <n v="0"/>
    <n v="0"/>
    <n v="146875"/>
    <n v="9375"/>
    <n v="44063"/>
    <n v="0"/>
    <n v="93437"/>
  </r>
  <r>
    <x v="1"/>
    <s v="ASG0017"/>
    <d v="2023-05-02T00:00:00"/>
    <d v="2026-02-02T00:00:00"/>
    <s v="Sr Accountant"/>
    <x v="4"/>
    <x v="1"/>
    <n v="0"/>
    <n v="2"/>
    <n v="24"/>
    <n v="3423"/>
    <n v="1369"/>
    <n v="1429"/>
    <n v="143"/>
    <n v="71"/>
    <n v="10919"/>
    <n v="0"/>
    <n v="17354"/>
    <n v="411"/>
    <n v="0"/>
    <n v="14800"/>
    <n v="2143"/>
  </r>
  <r>
    <x v="1"/>
    <s v="ASG0018"/>
    <d v="2023-05-29T00:00:00"/>
    <m/>
    <s v="Sr Accountant"/>
    <x v="4"/>
    <x v="0"/>
    <n v="11"/>
    <n v="17"/>
    <n v="16"/>
    <n v="28460"/>
    <n v="11384"/>
    <n v="11839"/>
    <n v="1214"/>
    <n v="607"/>
    <n v="7121"/>
    <n v="0"/>
    <n v="60625"/>
    <n v="3415"/>
    <n v="6063"/>
    <n v="0"/>
    <n v="51147"/>
  </r>
  <r>
    <x v="1"/>
    <s v="ASG0019"/>
    <d v="2023-09-01T00:00:00"/>
    <m/>
    <s v="Senior Sales Executive"/>
    <x v="3"/>
    <x v="2"/>
    <n v="10"/>
    <n v="18"/>
    <n v="0"/>
    <n v="29465"/>
    <n v="11786"/>
    <n v="12214"/>
    <n v="1286"/>
    <n v="643"/>
    <n v="0"/>
    <n v="18390"/>
    <n v="73784"/>
    <n v="3536"/>
    <n v="7378"/>
    <n v="10500"/>
    <n v="52370"/>
  </r>
  <r>
    <x v="1"/>
    <s v="ASG0020"/>
    <d v="2023-09-04T00:00:00"/>
    <m/>
    <s v="Sales Executive"/>
    <x v="3"/>
    <x v="3"/>
    <n v="11"/>
    <n v="17"/>
    <n v="17"/>
    <n v="19732"/>
    <n v="7893"/>
    <n v="9471"/>
    <n v="0"/>
    <n v="0"/>
    <n v="5246"/>
    <n v="11350"/>
    <n v="53692"/>
    <n v="2368"/>
    <n v="5369"/>
    <n v="0"/>
    <n v="45955"/>
  </r>
  <r>
    <x v="1"/>
    <s v="ASG0022"/>
    <d v="2023-11-06T00:00:00"/>
    <m/>
    <s v="Payroll Analyst"/>
    <x v="2"/>
    <x v="2"/>
    <n v="0"/>
    <n v="28"/>
    <n v="0"/>
    <n v="28334"/>
    <n v="11334"/>
    <n v="13599"/>
    <n v="0"/>
    <n v="0"/>
    <n v="0"/>
    <n v="0"/>
    <n v="53267"/>
    <n v="3400"/>
    <n v="5327"/>
    <n v="0"/>
    <n v="44540"/>
  </r>
  <r>
    <x v="1"/>
    <s v="ASG0023"/>
    <d v="2024-01-29T00:00:00"/>
    <m/>
    <s v="HR Analyst"/>
    <x v="0"/>
    <x v="4"/>
    <n v="0"/>
    <n v="28"/>
    <n v="0"/>
    <n v="50000"/>
    <n v="20000"/>
    <n v="21000"/>
    <n v="2000"/>
    <n v="1000"/>
    <n v="0"/>
    <n v="0"/>
    <n v="94000"/>
    <n v="6000"/>
    <n v="18800"/>
    <n v="0"/>
    <n v="69200"/>
  </r>
  <r>
    <x v="1"/>
    <s v="ASG0024"/>
    <d v="2024-02-05T00:00:00"/>
    <d v="2026-03-03T00:00:00"/>
    <s v="Accounts Executive"/>
    <x v="4"/>
    <x v="3"/>
    <n v="0"/>
    <n v="28"/>
    <n v="24"/>
    <n v="32500"/>
    <n v="13000"/>
    <n v="15600"/>
    <n v="0"/>
    <n v="0"/>
    <n v="7406"/>
    <n v="0"/>
    <n v="68506"/>
    <n v="3900"/>
    <n v="6851"/>
    <n v="0"/>
    <n v="57755"/>
  </r>
  <r>
    <x v="1"/>
    <s v="ASG0025"/>
    <d v="2024-02-06T00:00:00"/>
    <m/>
    <s v="Accounts Executive"/>
    <x v="4"/>
    <x v="1"/>
    <n v="7"/>
    <n v="21"/>
    <n v="0"/>
    <n v="22657"/>
    <n v="9063"/>
    <n v="10874"/>
    <n v="0"/>
    <n v="0"/>
    <n v="0"/>
    <n v="0"/>
    <n v="42594"/>
    <n v="2719"/>
    <n v="0"/>
    <n v="0"/>
    <n v="39875"/>
  </r>
  <r>
    <x v="1"/>
    <s v="ASG0027"/>
    <d v="2024-05-06T00:00:00"/>
    <m/>
    <s v="HR Analyst"/>
    <x v="0"/>
    <x v="2"/>
    <n v="0"/>
    <n v="28"/>
    <n v="22"/>
    <n v="47917"/>
    <n v="19167"/>
    <n v="19999"/>
    <n v="2000"/>
    <n v="1000"/>
    <n v="10009"/>
    <n v="0"/>
    <n v="100092"/>
    <n v="5750"/>
    <n v="30028"/>
    <n v="0"/>
    <n v="64314"/>
  </r>
  <r>
    <x v="1"/>
    <s v="ASG0028"/>
    <d v="2024-07-29T00:00:00"/>
    <m/>
    <s v="Sales Trainee"/>
    <x v="3"/>
    <x v="4"/>
    <n v="0"/>
    <n v="28"/>
    <n v="21"/>
    <n v="18750"/>
    <n v="7500"/>
    <n v="9000"/>
    <n v="0"/>
    <n v="0"/>
    <n v="3739"/>
    <n v="6870"/>
    <n v="45859"/>
    <n v="2250"/>
    <n v="0"/>
    <n v="0"/>
    <n v="43609"/>
  </r>
  <r>
    <x v="1"/>
    <s v="ASG0029"/>
    <d v="2024-08-05T00:00:00"/>
    <m/>
    <s v="Payroll Analyst"/>
    <x v="2"/>
    <x v="3"/>
    <n v="0"/>
    <n v="28"/>
    <n v="0"/>
    <n v="27084"/>
    <n v="10834"/>
    <n v="12999"/>
    <n v="0"/>
    <n v="0"/>
    <n v="0"/>
    <n v="0"/>
    <n v="50917"/>
    <n v="3250"/>
    <n v="5092"/>
    <n v="0"/>
    <n v="42575"/>
  </r>
  <r>
    <x v="1"/>
    <s v="ASG0030"/>
    <d v="2024-09-02T00:00:00"/>
    <d v="2026-03-17T00:00:00"/>
    <s v="Senior Data Analyst"/>
    <x v="1"/>
    <x v="4"/>
    <n v="0"/>
    <n v="28"/>
    <n v="22"/>
    <n v="59792"/>
    <n v="23917"/>
    <n v="25699"/>
    <n v="2000"/>
    <n v="1000"/>
    <n v="12490"/>
    <n v="0"/>
    <n v="124898"/>
    <n v="7175"/>
    <n v="37469"/>
    <n v="11600"/>
    <n v="68654"/>
  </r>
  <r>
    <x v="1"/>
    <s v="ASG0031"/>
    <d v="2024-10-14T00:00:00"/>
    <m/>
    <s v="Accounts Executive"/>
    <x v="4"/>
    <x v="0"/>
    <n v="5"/>
    <n v="23"/>
    <n v="0"/>
    <n v="23959"/>
    <n v="9584"/>
    <n v="11499"/>
    <n v="0"/>
    <n v="0"/>
    <n v="0"/>
    <n v="0"/>
    <n v="45042"/>
    <n v="2875"/>
    <n v="0"/>
    <n v="0"/>
    <n v="42167"/>
  </r>
  <r>
    <x v="1"/>
    <s v="ASG0032"/>
    <d v="2024-11-11T00:00:00"/>
    <m/>
    <s v="HR Executive"/>
    <x v="0"/>
    <x v="1"/>
    <n v="10"/>
    <n v="18"/>
    <n v="0"/>
    <n v="20089"/>
    <n v="8036"/>
    <n v="9643"/>
    <n v="0"/>
    <n v="0"/>
    <n v="0"/>
    <n v="0"/>
    <n v="37768"/>
    <n v="2411"/>
    <n v="0"/>
    <n v="14600"/>
    <n v="20757"/>
  </r>
  <r>
    <x v="1"/>
    <s v="ASG0033"/>
    <d v="2024-11-18T00:00:00"/>
    <m/>
    <s v="Data Analyst"/>
    <x v="1"/>
    <x v="0"/>
    <n v="7"/>
    <n v="21"/>
    <n v="25"/>
    <n v="39063"/>
    <n v="15626"/>
    <n v="16499"/>
    <n v="1500"/>
    <n v="750"/>
    <n v="12363"/>
    <n v="0"/>
    <n v="85801"/>
    <n v="4688"/>
    <n v="17160"/>
    <n v="0"/>
    <n v="63953"/>
  </r>
  <r>
    <x v="1"/>
    <s v="ASG0035"/>
    <d v="2025-01-06T00:00:00"/>
    <m/>
    <s v="HR Executive"/>
    <x v="0"/>
    <x v="2"/>
    <n v="0"/>
    <n v="28"/>
    <n v="0"/>
    <n v="25000"/>
    <n v="10000"/>
    <n v="12000"/>
    <n v="0"/>
    <n v="0"/>
    <n v="0"/>
    <n v="0"/>
    <n v="47000"/>
    <n v="3000"/>
    <n v="0"/>
    <n v="0"/>
    <n v="44000"/>
  </r>
  <r>
    <x v="1"/>
    <s v="ASG0036"/>
    <d v="2025-05-05T00:00:00"/>
    <m/>
    <s v="Payroll Executive"/>
    <x v="2"/>
    <x v="1"/>
    <n v="0"/>
    <n v="28"/>
    <n v="0"/>
    <n v="19792"/>
    <n v="7917"/>
    <n v="9499"/>
    <n v="0"/>
    <n v="0"/>
    <n v="0"/>
    <n v="0"/>
    <n v="37208"/>
    <n v="2375"/>
    <n v="0"/>
    <n v="0"/>
    <n v="34833"/>
  </r>
  <r>
    <x v="1"/>
    <s v="ASG0038"/>
    <d v="2025-07-14T00:00:00"/>
    <m/>
    <s v="Accounts Trainee"/>
    <x v="4"/>
    <x v="2"/>
    <n v="0"/>
    <n v="28"/>
    <n v="25"/>
    <n v="18750"/>
    <n v="7500"/>
    <n v="9000"/>
    <n v="0"/>
    <n v="0"/>
    <n v="4451"/>
    <n v="0"/>
    <n v="39701"/>
    <n v="2250"/>
    <n v="0"/>
    <n v="0"/>
    <n v="37451"/>
  </r>
  <r>
    <x v="1"/>
    <s v="ASG0039"/>
    <d v="2025-09-01T00:00:00"/>
    <m/>
    <s v="BI Developer"/>
    <x v="1"/>
    <x v="3"/>
    <n v="6"/>
    <n v="22"/>
    <n v="0"/>
    <n v="41741"/>
    <n v="16696"/>
    <n v="17679"/>
    <n v="1571"/>
    <n v="786"/>
    <n v="0"/>
    <n v="0"/>
    <n v="78473"/>
    <n v="5009"/>
    <n v="15695"/>
    <n v="0"/>
    <n v="57769"/>
  </r>
  <r>
    <x v="1"/>
    <s v="ASG0040"/>
    <d v="2025-09-08T00:00:00"/>
    <d v="2026-02-24T00:00:00"/>
    <s v="Payroll Executive"/>
    <x v="2"/>
    <x v="2"/>
    <n v="0"/>
    <n v="24"/>
    <n v="22"/>
    <n v="16965"/>
    <n v="6786"/>
    <n v="8142"/>
    <n v="0"/>
    <n v="0"/>
    <n v="4134"/>
    <n v="0"/>
    <n v="36027"/>
    <n v="2036"/>
    <n v="0"/>
    <n v="0"/>
    <n v="33991"/>
  </r>
  <r>
    <x v="1"/>
    <s v="ASG0041"/>
    <d v="2025-11-17T00:00:00"/>
    <m/>
    <s v="Data Analyst"/>
    <x v="1"/>
    <x v="1"/>
    <n v="8"/>
    <n v="20"/>
    <n v="0"/>
    <n v="35119"/>
    <n v="14048"/>
    <n v="14714"/>
    <n v="1429"/>
    <n v="714"/>
    <n v="0"/>
    <n v="0"/>
    <n v="66024"/>
    <n v="4214"/>
    <n v="6602"/>
    <n v="0"/>
    <n v="55208"/>
  </r>
  <r>
    <x v="1"/>
    <s v="ASG0042"/>
    <d v="2025-12-01T00:00:00"/>
    <m/>
    <s v="Sales Trainee"/>
    <x v="3"/>
    <x v="1"/>
    <n v="0"/>
    <n v="28"/>
    <n v="0"/>
    <n v="18750"/>
    <n v="7500"/>
    <n v="9000"/>
    <n v="0"/>
    <n v="0"/>
    <n v="0"/>
    <n v="6910"/>
    <n v="42160"/>
    <n v="2250"/>
    <n v="0"/>
    <n v="0"/>
    <n v="39910"/>
  </r>
  <r>
    <x v="1"/>
    <s v="ASG0043"/>
    <d v="2026-01-05T00:00:00"/>
    <m/>
    <s v="HR Executive"/>
    <x v="0"/>
    <x v="0"/>
    <n v="0"/>
    <n v="28"/>
    <n v="20"/>
    <n v="23959"/>
    <n v="9584"/>
    <n v="11499"/>
    <n v="0"/>
    <n v="0"/>
    <n v="4550"/>
    <n v="0"/>
    <n v="49592"/>
    <n v="2875"/>
    <n v="0"/>
    <n v="0"/>
    <n v="46717"/>
  </r>
  <r>
    <x v="1"/>
    <s v="ASG0044"/>
    <d v="2026-01-19T00:00:00"/>
    <m/>
    <s v="Data Analyst"/>
    <x v="1"/>
    <x v="3"/>
    <n v="0"/>
    <n v="28"/>
    <n v="25"/>
    <n v="47917"/>
    <n v="19167"/>
    <n v="19999"/>
    <n v="2000"/>
    <n v="1000"/>
    <n v="11374"/>
    <n v="0"/>
    <n v="101457"/>
    <n v="5750"/>
    <n v="30437"/>
    <n v="12400"/>
    <n v="52870"/>
  </r>
  <r>
    <x v="1"/>
    <s v="ASG0045"/>
    <d v="2026-02-03T00:00:00"/>
    <m/>
    <s v="Accounts Trainee"/>
    <x v="4"/>
    <x v="4"/>
    <n v="0"/>
    <n v="28"/>
    <n v="0"/>
    <n v="18750"/>
    <n v="7500"/>
    <n v="9000"/>
    <n v="0"/>
    <n v="0"/>
    <n v="0"/>
    <n v="0"/>
    <n v="35250"/>
    <n v="2250"/>
    <n v="0"/>
    <n v="0"/>
    <n v="33000"/>
  </r>
  <r>
    <x v="1"/>
    <s v="ASG0046"/>
    <d v="2026-02-09T00:00:00"/>
    <m/>
    <s v="HR Executive"/>
    <x v="0"/>
    <x v="1"/>
    <n v="0"/>
    <n v="28"/>
    <n v="0"/>
    <n v="23959"/>
    <n v="9584"/>
    <n v="11499"/>
    <n v="0"/>
    <n v="0"/>
    <n v="0"/>
    <n v="0"/>
    <n v="45042"/>
    <n v="2875"/>
    <n v="0"/>
    <n v="0"/>
    <n v="42167"/>
  </r>
  <r>
    <x v="1"/>
    <s v="ASG0047"/>
    <d v="2026-02-10T00:00:00"/>
    <m/>
    <s v="HR Executive"/>
    <x v="0"/>
    <x v="0"/>
    <n v="0"/>
    <n v="28"/>
    <n v="17"/>
    <n v="23959"/>
    <n v="9584"/>
    <n v="11499"/>
    <n v="0"/>
    <n v="0"/>
    <n v="3867"/>
    <n v="0"/>
    <n v="48909"/>
    <n v="2875"/>
    <n v="0"/>
    <n v="0"/>
    <n v="46034"/>
  </r>
  <r>
    <x v="2"/>
    <s v="ASG0001"/>
    <d v="2022-02-01T00:00:00"/>
    <m/>
    <s v="HR Manager"/>
    <x v="0"/>
    <x v="0"/>
    <n v="5"/>
    <n v="26"/>
    <n v="0"/>
    <n v="64651"/>
    <n v="25861"/>
    <n v="28515"/>
    <n v="1677"/>
    <n v="839"/>
    <n v="0"/>
    <n v="0"/>
    <n v="121543"/>
    <n v="7758"/>
    <n v="36463"/>
    <n v="0"/>
    <n v="77322"/>
  </r>
  <r>
    <x v="2"/>
    <s v="ASG0002"/>
    <d v="2022-02-21T00:00:00"/>
    <m/>
    <s v="Analytics Manager"/>
    <x v="1"/>
    <x v="1"/>
    <n v="0"/>
    <n v="31"/>
    <n v="0"/>
    <n v="104167"/>
    <n v="41667"/>
    <n v="49999"/>
    <n v="0"/>
    <n v="0"/>
    <n v="0"/>
    <n v="0"/>
    <n v="195833"/>
    <n v="12500"/>
    <n v="58750"/>
    <n v="0"/>
    <n v="124583"/>
  </r>
  <r>
    <x v="2"/>
    <s v="ASG0003"/>
    <d v="2022-03-14T00:00:00"/>
    <m/>
    <s v="HR Manager"/>
    <x v="0"/>
    <x v="0"/>
    <n v="9"/>
    <n v="22"/>
    <n v="18"/>
    <n v="51748"/>
    <n v="20699"/>
    <n v="22709"/>
    <n v="1419"/>
    <n v="710"/>
    <n v="12462"/>
    <n v="0"/>
    <n v="109747"/>
    <n v="6210"/>
    <n v="32924"/>
    <n v="0"/>
    <n v="70613"/>
  </r>
  <r>
    <x v="2"/>
    <s v="ASG0005"/>
    <d v="2022-05-16T00:00:00"/>
    <m/>
    <s v="Payroll Manager"/>
    <x v="2"/>
    <x v="1"/>
    <n v="9"/>
    <n v="22"/>
    <n v="19"/>
    <n v="50269"/>
    <n v="20108"/>
    <n v="21999"/>
    <n v="1419"/>
    <n v="710"/>
    <n v="12779"/>
    <n v="0"/>
    <n v="107284"/>
    <n v="6032"/>
    <n v="32185"/>
    <n v="0"/>
    <n v="69067"/>
  </r>
  <r>
    <x v="2"/>
    <s v="ASG0006"/>
    <d v="2022-05-23T00:00:00"/>
    <m/>
    <s v="Senior Payroll Analyst"/>
    <x v="2"/>
    <x v="2"/>
    <n v="0"/>
    <n v="31"/>
    <n v="0"/>
    <n v="41667"/>
    <n v="16667"/>
    <n v="16999"/>
    <n v="2000"/>
    <n v="1000"/>
    <n v="0"/>
    <n v="0"/>
    <n v="78333"/>
    <n v="5000"/>
    <n v="15667"/>
    <n v="13300"/>
    <n v="44366"/>
  </r>
  <r>
    <x v="2"/>
    <s v="ASG0008"/>
    <d v="2022-11-21T00:00:00"/>
    <m/>
    <s v="Sales Manager"/>
    <x v="3"/>
    <x v="3"/>
    <n v="0"/>
    <n v="31"/>
    <n v="0"/>
    <n v="87500"/>
    <n v="35000"/>
    <n v="39000"/>
    <n v="2000"/>
    <n v="1000"/>
    <n v="0"/>
    <n v="38500"/>
    <n v="203000"/>
    <n v="10500"/>
    <n v="60900"/>
    <n v="0"/>
    <n v="131600"/>
  </r>
  <r>
    <x v="2"/>
    <s v="ASG0009"/>
    <d v="2022-11-28T00:00:00"/>
    <m/>
    <s v="Regional Sales Lead"/>
    <x v="3"/>
    <x v="4"/>
    <n v="0"/>
    <n v="31"/>
    <n v="19"/>
    <n v="75000"/>
    <n v="30000"/>
    <n v="33000"/>
    <n v="2000"/>
    <n v="1000"/>
    <n v="13530"/>
    <n v="32190"/>
    <n v="186720"/>
    <n v="9000"/>
    <n v="56016"/>
    <n v="0"/>
    <n v="121704"/>
  </r>
  <r>
    <x v="2"/>
    <s v="ASG0010"/>
    <d v="2022-12-12T00:00:00"/>
    <m/>
    <s v="Finance Manager"/>
    <x v="4"/>
    <x v="2"/>
    <n v="10"/>
    <n v="21"/>
    <n v="19"/>
    <n v="49395"/>
    <n v="19758"/>
    <n v="21677"/>
    <n v="1355"/>
    <n v="677"/>
    <n v="13154"/>
    <n v="0"/>
    <n v="106016"/>
    <n v="5927"/>
    <n v="31805"/>
    <n v="0"/>
    <n v="68284"/>
  </r>
  <r>
    <x v="2"/>
    <s v="ASG0012"/>
    <d v="2023-01-30T00:00:00"/>
    <m/>
    <s v="Senior Sales Executive"/>
    <x v="3"/>
    <x v="1"/>
    <n v="6"/>
    <n v="25"/>
    <n v="0"/>
    <n v="38643"/>
    <n v="15457"/>
    <n v="16128"/>
    <n v="1613"/>
    <n v="806"/>
    <n v="0"/>
    <n v="27600"/>
    <n v="100247"/>
    <n v="4637"/>
    <n v="30074"/>
    <n v="0"/>
    <n v="65536"/>
  </r>
  <r>
    <x v="2"/>
    <s v="ASG0013"/>
    <d v="2023-02-06T00:00:00"/>
    <m/>
    <s v="Senior Data Analyst"/>
    <x v="1"/>
    <x v="0"/>
    <n v="0"/>
    <n v="31"/>
    <n v="0"/>
    <n v="64584"/>
    <n v="25834"/>
    <n v="27999"/>
    <n v="2000"/>
    <n v="1000"/>
    <n v="0"/>
    <n v="0"/>
    <n v="121417"/>
    <n v="7750"/>
    <n v="36425"/>
    <n v="0"/>
    <n v="77242"/>
  </r>
  <r>
    <x v="2"/>
    <s v="ASG0015"/>
    <d v="2023-04-17T00:00:00"/>
    <m/>
    <s v="Senior Data Analyst"/>
    <x v="1"/>
    <x v="4"/>
    <n v="0"/>
    <n v="31"/>
    <n v="0"/>
    <n v="61459"/>
    <n v="24584"/>
    <n v="26499"/>
    <n v="2000"/>
    <n v="1000"/>
    <n v="0"/>
    <n v="0"/>
    <n v="115542"/>
    <n v="7375"/>
    <n v="34663"/>
    <n v="0"/>
    <n v="73504"/>
  </r>
  <r>
    <x v="2"/>
    <s v="ASG0016"/>
    <d v="2023-04-24T00:00:00"/>
    <m/>
    <s v="Senior Data Analyst"/>
    <x v="1"/>
    <x v="0"/>
    <n v="10"/>
    <n v="21"/>
    <n v="0"/>
    <n v="52923"/>
    <n v="21169"/>
    <n v="23371"/>
    <n v="1355"/>
    <n v="677"/>
    <n v="0"/>
    <n v="0"/>
    <n v="99495"/>
    <n v="6351"/>
    <n v="19899"/>
    <n v="0"/>
    <n v="73245"/>
  </r>
  <r>
    <x v="2"/>
    <s v="ASG0018"/>
    <d v="2023-05-29T00:00:00"/>
    <m/>
    <s v="Sr Accountant"/>
    <x v="4"/>
    <x v="0"/>
    <n v="0"/>
    <n v="31"/>
    <n v="17"/>
    <n v="46875"/>
    <n v="18750"/>
    <n v="19500"/>
    <n v="2000"/>
    <n v="1000"/>
    <n v="7566"/>
    <n v="0"/>
    <n v="95691"/>
    <n v="5625"/>
    <n v="19138"/>
    <n v="0"/>
    <n v="70928"/>
  </r>
  <r>
    <x v="2"/>
    <s v="ASG0019"/>
    <d v="2023-09-01T00:00:00"/>
    <m/>
    <s v="Senior Sales Executive"/>
    <x v="3"/>
    <x v="2"/>
    <n v="9"/>
    <n v="22"/>
    <n v="17"/>
    <n v="32527"/>
    <n v="13011"/>
    <n v="13483"/>
    <n v="1419"/>
    <n v="710"/>
    <n v="7398"/>
    <n v="27550"/>
    <n v="96098"/>
    <n v="3903"/>
    <n v="19220"/>
    <n v="14300"/>
    <n v="58675"/>
  </r>
  <r>
    <x v="2"/>
    <s v="ASG0020"/>
    <d v="2023-09-04T00:00:00"/>
    <m/>
    <s v="Sales Executive"/>
    <x v="3"/>
    <x v="3"/>
    <n v="0"/>
    <n v="31"/>
    <n v="0"/>
    <n v="32500"/>
    <n v="13000"/>
    <n v="15600"/>
    <n v="0"/>
    <n v="0"/>
    <n v="0"/>
    <n v="23740"/>
    <n v="84840"/>
    <n v="3900"/>
    <n v="16968"/>
    <n v="0"/>
    <n v="63972"/>
  </r>
  <r>
    <x v="2"/>
    <s v="ASG0022"/>
    <d v="2023-11-06T00:00:00"/>
    <m/>
    <s v="Payroll Analyst"/>
    <x v="2"/>
    <x v="2"/>
    <n v="0"/>
    <n v="31"/>
    <n v="0"/>
    <n v="28334"/>
    <n v="11334"/>
    <n v="13599"/>
    <n v="0"/>
    <n v="0"/>
    <n v="0"/>
    <n v="0"/>
    <n v="53267"/>
    <n v="3400"/>
    <n v="5327"/>
    <n v="0"/>
    <n v="44540"/>
  </r>
  <r>
    <x v="2"/>
    <s v="ASG0023"/>
    <d v="2024-01-29T00:00:00"/>
    <m/>
    <s v="HR Analyst"/>
    <x v="0"/>
    <x v="4"/>
    <n v="6"/>
    <n v="25"/>
    <n v="0"/>
    <n v="40323"/>
    <n v="16129"/>
    <n v="16935"/>
    <n v="1613"/>
    <n v="806"/>
    <n v="0"/>
    <n v="0"/>
    <n v="75806"/>
    <n v="4839"/>
    <n v="15161"/>
    <n v="0"/>
    <n v="55806"/>
  </r>
  <r>
    <x v="2"/>
    <s v="ASG0024"/>
    <d v="2024-02-05T00:00:00"/>
    <d v="2026-03-03T00:00:00"/>
    <s v="Accounts Executive"/>
    <x v="4"/>
    <x v="3"/>
    <n v="0"/>
    <n v="3"/>
    <n v="19"/>
    <n v="3145"/>
    <n v="1258"/>
    <n v="1510"/>
    <n v="0"/>
    <n v="0"/>
    <n v="5863"/>
    <n v="0"/>
    <n v="11776"/>
    <n v="377"/>
    <n v="0"/>
    <n v="14400"/>
    <n v="-3001"/>
  </r>
  <r>
    <x v="2"/>
    <s v="ASG0025"/>
    <d v="2024-02-06T00:00:00"/>
    <m/>
    <s v="Accounts Executive"/>
    <x v="4"/>
    <x v="1"/>
    <n v="10"/>
    <n v="21"/>
    <n v="19"/>
    <n v="20464"/>
    <n v="8186"/>
    <n v="9822"/>
    <n v="0"/>
    <n v="0"/>
    <n v="5450"/>
    <n v="0"/>
    <n v="43922"/>
    <n v="2456"/>
    <n v="0"/>
    <n v="0"/>
    <n v="41466"/>
  </r>
  <r>
    <x v="2"/>
    <s v="ASG0027"/>
    <d v="2024-05-06T00:00:00"/>
    <m/>
    <s v="HR Analyst"/>
    <x v="0"/>
    <x v="2"/>
    <n v="0"/>
    <n v="31"/>
    <n v="0"/>
    <n v="47917"/>
    <n v="19167"/>
    <n v="19999"/>
    <n v="2000"/>
    <n v="1000"/>
    <n v="0"/>
    <n v="0"/>
    <n v="90083"/>
    <n v="5750"/>
    <n v="18017"/>
    <n v="0"/>
    <n v="66316"/>
  </r>
  <r>
    <x v="2"/>
    <s v="ASG0028"/>
    <d v="2024-07-29T00:00:00"/>
    <m/>
    <s v="Sales Trainee"/>
    <x v="3"/>
    <x v="4"/>
    <n v="0"/>
    <n v="31"/>
    <n v="0"/>
    <n v="18750"/>
    <n v="7500"/>
    <n v="9000"/>
    <n v="0"/>
    <n v="0"/>
    <n v="0"/>
    <n v="16090"/>
    <n v="51340"/>
    <n v="2250"/>
    <n v="5134"/>
    <n v="0"/>
    <n v="43956"/>
  </r>
  <r>
    <x v="2"/>
    <s v="ASG0029"/>
    <d v="2024-08-05T00:00:00"/>
    <m/>
    <s v="Payroll Analyst"/>
    <x v="2"/>
    <x v="3"/>
    <n v="0"/>
    <n v="31"/>
    <n v="0"/>
    <n v="27084"/>
    <n v="10834"/>
    <n v="12999"/>
    <n v="0"/>
    <n v="0"/>
    <n v="0"/>
    <n v="0"/>
    <n v="50917"/>
    <n v="3250"/>
    <n v="5092"/>
    <n v="0"/>
    <n v="42575"/>
  </r>
  <r>
    <x v="2"/>
    <s v="ASG0030"/>
    <d v="2024-09-02T00:00:00"/>
    <d v="2026-03-17T00:00:00"/>
    <s v="Senior Data Analyst"/>
    <x v="1"/>
    <x v="4"/>
    <n v="3"/>
    <n v="14"/>
    <n v="21"/>
    <n v="27003"/>
    <n v="10801"/>
    <n v="11606"/>
    <n v="903"/>
    <n v="452"/>
    <n v="11922"/>
    <n v="0"/>
    <n v="62687"/>
    <n v="3240"/>
    <n v="6269"/>
    <n v="13400"/>
    <n v="39778"/>
  </r>
  <r>
    <x v="2"/>
    <s v="ASG0031"/>
    <d v="2024-10-14T00:00:00"/>
    <m/>
    <s v="Accounts Executive"/>
    <x v="4"/>
    <x v="0"/>
    <n v="0"/>
    <n v="31"/>
    <n v="0"/>
    <n v="29167"/>
    <n v="11667"/>
    <n v="13999"/>
    <n v="0"/>
    <n v="0"/>
    <n v="0"/>
    <n v="0"/>
    <n v="54833"/>
    <n v="3500"/>
    <n v="5483"/>
    <n v="0"/>
    <n v="45850"/>
  </r>
  <r>
    <x v="2"/>
    <s v="ASG0032"/>
    <d v="2024-11-11T00:00:00"/>
    <m/>
    <s v="HR Executive"/>
    <x v="0"/>
    <x v="1"/>
    <n v="0"/>
    <n v="31"/>
    <n v="0"/>
    <n v="31250"/>
    <n v="12500"/>
    <n v="15000"/>
    <n v="0"/>
    <n v="0"/>
    <n v="0"/>
    <n v="0"/>
    <n v="58750"/>
    <n v="3750"/>
    <n v="5875"/>
    <n v="10500"/>
    <n v="38625"/>
  </r>
  <r>
    <x v="2"/>
    <s v="ASG0033"/>
    <d v="2024-11-18T00:00:00"/>
    <m/>
    <s v="Data Analyst"/>
    <x v="1"/>
    <x v="0"/>
    <n v="0"/>
    <n v="31"/>
    <n v="24"/>
    <n v="52084"/>
    <n v="20834"/>
    <n v="21999"/>
    <n v="2000"/>
    <n v="1000"/>
    <n v="11869"/>
    <n v="0"/>
    <n v="109786"/>
    <n v="6250"/>
    <n v="32936"/>
    <n v="0"/>
    <n v="70600"/>
  </r>
  <r>
    <x v="2"/>
    <s v="ASG0035"/>
    <d v="2025-01-06T00:00:00"/>
    <m/>
    <s v="HR Executive"/>
    <x v="0"/>
    <x v="2"/>
    <n v="0"/>
    <n v="31"/>
    <n v="0"/>
    <n v="25000"/>
    <n v="10000"/>
    <n v="12000"/>
    <n v="0"/>
    <n v="0"/>
    <n v="0"/>
    <n v="0"/>
    <n v="47000"/>
    <n v="3000"/>
    <n v="0"/>
    <n v="0"/>
    <n v="44000"/>
  </r>
  <r>
    <x v="2"/>
    <s v="ASG0036"/>
    <d v="2025-05-05T00:00:00"/>
    <m/>
    <s v="Payroll Executive"/>
    <x v="2"/>
    <x v="1"/>
    <n v="0"/>
    <n v="31"/>
    <n v="0"/>
    <n v="19792"/>
    <n v="7917"/>
    <n v="9499"/>
    <n v="0"/>
    <n v="0"/>
    <n v="0"/>
    <n v="0"/>
    <n v="37208"/>
    <n v="2375"/>
    <n v="0"/>
    <n v="0"/>
    <n v="34833"/>
  </r>
  <r>
    <x v="2"/>
    <s v="ASG0038"/>
    <d v="2025-07-14T00:00:00"/>
    <m/>
    <s v="Accounts Trainee"/>
    <x v="4"/>
    <x v="2"/>
    <n v="0"/>
    <n v="31"/>
    <n v="0"/>
    <n v="18750"/>
    <n v="7500"/>
    <n v="9000"/>
    <n v="0"/>
    <n v="0"/>
    <n v="0"/>
    <n v="0"/>
    <n v="35250"/>
    <n v="2250"/>
    <n v="0"/>
    <n v="0"/>
    <n v="33000"/>
  </r>
  <r>
    <x v="2"/>
    <s v="ASG0039"/>
    <d v="2025-09-01T00:00:00"/>
    <m/>
    <s v="BI Developer"/>
    <x v="1"/>
    <x v="3"/>
    <n v="11"/>
    <n v="20"/>
    <n v="23"/>
    <n v="34274"/>
    <n v="13710"/>
    <n v="14516"/>
    <n v="1290"/>
    <n v="645"/>
    <n v="11602"/>
    <n v="0"/>
    <n v="76037"/>
    <n v="4113"/>
    <n v="15207"/>
    <n v="0"/>
    <n v="56717"/>
  </r>
  <r>
    <x v="2"/>
    <s v="ASG0041"/>
    <d v="2025-11-17T00:00:00"/>
    <m/>
    <s v="Data Analyst"/>
    <x v="1"/>
    <x v="1"/>
    <n v="0"/>
    <n v="31"/>
    <n v="0"/>
    <n v="49167"/>
    <n v="19667"/>
    <n v="20599"/>
    <n v="2000"/>
    <n v="1000"/>
    <n v="0"/>
    <n v="0"/>
    <n v="92433"/>
    <n v="5900"/>
    <n v="18487"/>
    <n v="0"/>
    <n v="68046"/>
  </r>
  <r>
    <x v="2"/>
    <s v="ASG0042"/>
    <d v="2025-12-01T00:00:00"/>
    <m/>
    <s v="Sales Trainee"/>
    <x v="3"/>
    <x v="1"/>
    <n v="0"/>
    <n v="31"/>
    <n v="0"/>
    <n v="18750"/>
    <n v="7500"/>
    <n v="9000"/>
    <n v="0"/>
    <n v="0"/>
    <n v="0"/>
    <n v="12980"/>
    <n v="48230"/>
    <n v="2250"/>
    <n v="0"/>
    <n v="0"/>
    <n v="45980"/>
  </r>
  <r>
    <x v="2"/>
    <s v="ASG0043"/>
    <d v="2026-01-05T00:00:00"/>
    <m/>
    <s v="HR Executive"/>
    <x v="0"/>
    <x v="0"/>
    <n v="0"/>
    <n v="31"/>
    <n v="18"/>
    <n v="23959"/>
    <n v="9584"/>
    <n v="11499"/>
    <n v="0"/>
    <n v="0"/>
    <n v="4095"/>
    <n v="0"/>
    <n v="49137"/>
    <n v="2875"/>
    <n v="0"/>
    <n v="0"/>
    <n v="46262"/>
  </r>
  <r>
    <x v="2"/>
    <s v="ASG0044"/>
    <d v="2026-01-19T00:00:00"/>
    <m/>
    <s v="Data Analyst"/>
    <x v="1"/>
    <x v="3"/>
    <n v="0"/>
    <n v="31"/>
    <n v="0"/>
    <n v="47917"/>
    <n v="19167"/>
    <n v="19999"/>
    <n v="2000"/>
    <n v="1000"/>
    <n v="0"/>
    <n v="0"/>
    <n v="90083"/>
    <n v="5750"/>
    <n v="18017"/>
    <n v="13900"/>
    <n v="52416"/>
  </r>
  <r>
    <x v="2"/>
    <s v="ASG0045"/>
    <d v="2026-02-03T00:00:00"/>
    <m/>
    <s v="Accounts Trainee"/>
    <x v="4"/>
    <x v="4"/>
    <n v="0"/>
    <n v="31"/>
    <n v="0"/>
    <n v="18750"/>
    <n v="7500"/>
    <n v="9000"/>
    <n v="0"/>
    <n v="0"/>
    <n v="0"/>
    <n v="0"/>
    <n v="35250"/>
    <n v="2250"/>
    <n v="0"/>
    <n v="0"/>
    <n v="33000"/>
  </r>
  <r>
    <x v="2"/>
    <s v="ASG0046"/>
    <d v="2026-02-09T00:00:00"/>
    <m/>
    <s v="HR Executive"/>
    <x v="0"/>
    <x v="1"/>
    <n v="0"/>
    <n v="31"/>
    <n v="24"/>
    <n v="23959"/>
    <n v="9584"/>
    <n v="11499"/>
    <n v="0"/>
    <n v="0"/>
    <n v="5460"/>
    <n v="0"/>
    <n v="50502"/>
    <n v="2875"/>
    <n v="5050"/>
    <n v="0"/>
    <n v="42577"/>
  </r>
  <r>
    <x v="2"/>
    <s v="ASG0047"/>
    <d v="2026-02-10T00:00:00"/>
    <m/>
    <s v="HR Executive"/>
    <x v="0"/>
    <x v="0"/>
    <n v="0"/>
    <n v="31"/>
    <n v="0"/>
    <n v="23959"/>
    <n v="9584"/>
    <n v="11499"/>
    <n v="0"/>
    <n v="0"/>
    <n v="0"/>
    <n v="0"/>
    <n v="45042"/>
    <n v="2875"/>
    <n v="0"/>
    <n v="0"/>
    <n v="42167"/>
  </r>
  <r>
    <x v="2"/>
    <s v="ASG0048"/>
    <d v="2026-03-10T00:00:00"/>
    <m/>
    <s v="Accounts Trainee"/>
    <x v="4"/>
    <x v="2"/>
    <n v="0"/>
    <n v="31"/>
    <n v="0"/>
    <n v="18750"/>
    <n v="7500"/>
    <n v="9000"/>
    <n v="0"/>
    <n v="0"/>
    <n v="0"/>
    <n v="0"/>
    <n v="35250"/>
    <n v="2250"/>
    <n v="0"/>
    <n v="0"/>
    <n v="33000"/>
  </r>
  <r>
    <x v="2"/>
    <s v="ASG0049"/>
    <d v="2026-03-17T00:00:00"/>
    <m/>
    <s v="Payroll Executive"/>
    <x v="2"/>
    <x v="4"/>
    <n v="0"/>
    <n v="31"/>
    <n v="17"/>
    <n v="19792"/>
    <n v="7917"/>
    <n v="9499"/>
    <n v="0"/>
    <n v="0"/>
    <n v="3195"/>
    <n v="0"/>
    <n v="40403"/>
    <n v="2375"/>
    <n v="0"/>
    <n v="0"/>
    <n v="38028"/>
  </r>
  <r>
    <x v="2"/>
    <s v="ASG0050"/>
    <d v="2026-03-24T00:00:00"/>
    <m/>
    <s v="Sales Trainee"/>
    <x v="3"/>
    <x v="4"/>
    <n v="0"/>
    <n v="31"/>
    <n v="22"/>
    <n v="18750"/>
    <n v="7500"/>
    <n v="9000"/>
    <n v="0"/>
    <n v="0"/>
    <n v="3917"/>
    <n v="13660"/>
    <n v="52827"/>
    <n v="2250"/>
    <n v="5283"/>
    <n v="0"/>
    <n v="452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FA5C7-D1B2-4A39-B524-EF1E389AB555}" name="HC_By Qualification"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2" rowHeaderCaption="Department">
  <location ref="F1:G3" firstHeaderRow="1" firstDataRow="1" firstDataCol="1"/>
  <pivotFields count="19">
    <pivotField dataField="1" showAll="0"/>
    <pivotField showAll="0"/>
    <pivotField showAll="0"/>
    <pivotField showAll="0">
      <items count="3">
        <item x="1"/>
        <item x="0"/>
        <item t="default"/>
      </items>
    </pivotField>
    <pivotField showAll="0"/>
    <pivotField showAll="0"/>
    <pivotField numFmtId="15"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6">
        <item x="1"/>
        <item x="4"/>
        <item x="0"/>
        <item x="2"/>
        <item x="3"/>
        <item t="default"/>
      </items>
    </pivotField>
    <pivotField showAll="0"/>
    <pivotField showAll="0">
      <items count="6">
        <item x="0"/>
        <item x="1"/>
        <item x="4"/>
        <item x="3"/>
        <item x="2"/>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s>
  <rowFields count="1">
    <field x="14"/>
  </rowFields>
  <rowItems count="2">
    <i>
      <x/>
    </i>
    <i>
      <x v="1"/>
    </i>
  </rowItems>
  <colItems count="1">
    <i/>
  </colItems>
  <dataFields count="1">
    <dataField name="Count of Employee Id" fld="0" subtotal="count" baseField="0" baseItem="0"/>
  </dataFields>
  <chartFormats count="11">
    <chartFormat chart="9"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0"/>
          </reference>
        </references>
      </pivotArea>
    </chartFormat>
    <chartFormat chart="9" format="4">
      <pivotArea type="data" outline="0" fieldPosition="0">
        <references count="2">
          <reference field="4294967294" count="1" selected="0">
            <x v="0"/>
          </reference>
          <reference field="14" count="1" selected="0">
            <x v="1"/>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4" count="1" selected="0">
            <x v="0"/>
          </reference>
        </references>
      </pivotArea>
    </chartFormat>
    <chartFormat chart="20" format="7">
      <pivotArea type="data" outline="0" fieldPosition="0">
        <references count="2">
          <reference field="4294967294" count="1" selected="0">
            <x v="0"/>
          </reference>
          <reference field="1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4" count="1" selected="0">
            <x v="0"/>
          </reference>
        </references>
      </pivotArea>
    </chartFormat>
    <chartFormat chart="21" format="10">
      <pivotArea type="data" outline="0" fieldPosition="0">
        <references count="2">
          <reference field="4294967294" count="1" selected="0">
            <x v="0"/>
          </reference>
          <reference field="14" count="1" selected="0">
            <x v="1"/>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9E94F9-0797-4791-B966-C5DEDDB18478}" name="HC_By Dep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5" rowHeaderCaption="Department">
  <location ref="A1:C7" firstHeaderRow="1" firstDataRow="2" firstDataCol="1"/>
  <pivotFields count="19">
    <pivotField dataField="1" showAll="0"/>
    <pivotField showAll="0"/>
    <pivotField showAll="0"/>
    <pivotField showAll="0">
      <items count="3">
        <item x="1"/>
        <item x="0"/>
        <item t="default"/>
      </items>
    </pivotField>
    <pivotField showAll="0"/>
    <pivotField showAll="0"/>
    <pivotField numFmtId="15"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6">
        <item x="1"/>
        <item x="4"/>
        <item x="0"/>
        <item x="2"/>
        <item x="3"/>
        <item t="default"/>
      </items>
    </pivotField>
    <pivotField showAll="0"/>
    <pivotField showAll="0">
      <items count="6">
        <item x="0"/>
        <item x="1"/>
        <item x="4"/>
        <item x="3"/>
        <item x="2"/>
        <item t="default"/>
      </items>
    </pivotField>
    <pivotField axis="axisCol" showAll="0">
      <items count="3">
        <item x="0"/>
        <item x="1"/>
        <item t="default"/>
      </items>
    </pivotField>
    <pivotField showAll="0"/>
    <pivotField showAll="0"/>
    <pivotField showAll="0"/>
    <pivotField showAll="0"/>
    <pivotField showAll="0"/>
  </pivotFields>
  <rowFields count="1">
    <field x="10"/>
  </rowFields>
  <rowItems count="5">
    <i>
      <x/>
    </i>
    <i>
      <x v="1"/>
    </i>
    <i>
      <x v="2"/>
    </i>
    <i>
      <x v="3"/>
    </i>
    <i>
      <x v="4"/>
    </i>
  </rowItems>
  <colFields count="1">
    <field x="13"/>
  </colFields>
  <colItems count="2">
    <i>
      <x/>
    </i>
    <i>
      <x v="1"/>
    </i>
  </colItems>
  <dataFields count="1">
    <dataField name="Count of Employee Id" fld="0" subtotal="count" baseField="0" baseItem="0"/>
  </dataFields>
  <chartFormats count="11">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1">
          <reference field="4294967294" count="1" selected="0">
            <x v="0"/>
          </reference>
        </references>
      </pivotArea>
    </chartFormat>
    <chartFormat chart="13" format="3" series="1">
      <pivotArea type="data" outline="0" fieldPosition="0">
        <references count="2">
          <reference field="4294967294" count="1" selected="0">
            <x v="0"/>
          </reference>
          <reference field="13" count="1" selected="0">
            <x v="0"/>
          </reference>
        </references>
      </pivotArea>
    </chartFormat>
    <chartFormat chart="13" format="4" series="1">
      <pivotArea type="data" outline="0" fieldPosition="0">
        <references count="2">
          <reference field="4294967294" count="1" selected="0">
            <x v="0"/>
          </reference>
          <reference field="13" count="1" selected="0">
            <x v="1"/>
          </reference>
        </references>
      </pivotArea>
    </chartFormat>
    <chartFormat chart="14" format="5" series="1">
      <pivotArea type="data" outline="0" fieldPosition="0">
        <references count="2">
          <reference field="4294967294" count="1" selected="0">
            <x v="0"/>
          </reference>
          <reference field="13" count="1" selected="0">
            <x v="0"/>
          </reference>
        </references>
      </pivotArea>
    </chartFormat>
    <chartFormat chart="14" format="6" series="1">
      <pivotArea type="data" outline="0" fieldPosition="0">
        <references count="2">
          <reference field="4294967294" count="1" selected="0">
            <x v="0"/>
          </reference>
          <reference field="13" count="1" selected="0">
            <x v="1"/>
          </reference>
        </references>
      </pivotArea>
    </chartFormat>
    <chartFormat chart="14" format="7"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4F5194-1724-430D-9A78-878748EDC5C0}" name="HC_ByShif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rowHeaderCaption="Department">
  <location ref="F23:G26" firstHeaderRow="1" firstDataRow="1" firstDataCol="1"/>
  <pivotFields count="19">
    <pivotField dataField="1" showAll="0"/>
    <pivotField showAll="0"/>
    <pivotField showAll="0"/>
    <pivotField showAll="0">
      <items count="3">
        <item x="1"/>
        <item x="0"/>
        <item t="default"/>
      </items>
    </pivotField>
    <pivotField showAll="0"/>
    <pivotField showAll="0"/>
    <pivotField numFmtId="15"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6">
        <item x="1"/>
        <item x="4"/>
        <item x="0"/>
        <item x="2"/>
        <item x="3"/>
        <item t="default"/>
      </items>
    </pivotField>
    <pivotField showAll="0"/>
    <pivotField showAll="0">
      <items count="6">
        <item x="0"/>
        <item x="1"/>
        <item x="4"/>
        <item x="3"/>
        <item x="2"/>
        <item t="default"/>
      </items>
    </pivotField>
    <pivotField showAll="0">
      <items count="3">
        <item x="0"/>
        <item x="1"/>
        <item t="default"/>
      </items>
    </pivotField>
    <pivotField showAll="0"/>
    <pivotField axis="axisRow" showAll="0">
      <items count="4">
        <item x="0"/>
        <item x="2"/>
        <item x="1"/>
        <item t="default"/>
      </items>
    </pivotField>
    <pivotField showAll="0"/>
    <pivotField showAll="0"/>
    <pivotField showAll="0"/>
  </pivotFields>
  <rowFields count="1">
    <field x="15"/>
  </rowFields>
  <rowItems count="3">
    <i>
      <x/>
    </i>
    <i>
      <x v="1"/>
    </i>
    <i>
      <x v="2"/>
    </i>
  </rowItems>
  <colItems count="1">
    <i/>
  </colItems>
  <dataFields count="1">
    <dataField name="Count of Employee Id" fld="0" subtotal="count" baseField="0" baseItem="0"/>
  </dataFields>
  <chartFormats count="14">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5" count="1" selected="0">
            <x v="0"/>
          </reference>
        </references>
      </pivotArea>
    </chartFormat>
    <chartFormat chart="16" format="2">
      <pivotArea type="data" outline="0" fieldPosition="0">
        <references count="2">
          <reference field="4294967294" count="1" selected="0">
            <x v="0"/>
          </reference>
          <reference field="15" count="1" selected="0">
            <x v="1"/>
          </reference>
        </references>
      </pivotArea>
    </chartFormat>
    <chartFormat chart="16" format="3">
      <pivotArea type="data" outline="0" fieldPosition="0">
        <references count="2">
          <reference field="4294967294" count="1" selected="0">
            <x v="0"/>
          </reference>
          <reference field="15" count="1" selected="0">
            <x v="2"/>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5" count="1" selected="0">
            <x v="0"/>
          </reference>
        </references>
      </pivotArea>
    </chartFormat>
    <chartFormat chart="19" format="6">
      <pivotArea type="data" outline="0" fieldPosition="0">
        <references count="2">
          <reference field="4294967294" count="1" selected="0">
            <x v="0"/>
          </reference>
          <reference field="15" count="1" selected="0">
            <x v="1"/>
          </reference>
        </references>
      </pivotArea>
    </chartFormat>
    <chartFormat chart="19" format="7">
      <pivotArea type="data" outline="0" fieldPosition="0">
        <references count="2">
          <reference field="4294967294" count="1" selected="0">
            <x v="0"/>
          </reference>
          <reference field="15"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5" count="1" selected="0">
            <x v="0"/>
          </reference>
        </references>
      </pivotArea>
    </chartFormat>
    <chartFormat chart="20" format="10">
      <pivotArea type="data" outline="0" fieldPosition="0">
        <references count="2">
          <reference field="4294967294" count="1" selected="0">
            <x v="0"/>
          </reference>
          <reference field="15" count="1" selected="0">
            <x v="1"/>
          </reference>
        </references>
      </pivotArea>
    </chartFormat>
    <chartFormat chart="20"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B2A79-DFC1-4F43-BC17-D97430FA0770}" name="HC_ByLocation"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rowHeaderCaption="Location">
  <location ref="A26:B31" firstHeaderRow="1" firstDataRow="1" firstDataCol="1"/>
  <pivotFields count="19">
    <pivotField dataField="1" showAll="0"/>
    <pivotField showAll="0"/>
    <pivotField showAll="0"/>
    <pivotField showAll="0">
      <items count="3">
        <item x="1"/>
        <item x="0"/>
        <item t="default"/>
      </items>
    </pivotField>
    <pivotField showAll="0"/>
    <pivotField showAll="0"/>
    <pivotField numFmtId="15"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6">
        <item x="1"/>
        <item x="4"/>
        <item x="0"/>
        <item x="2"/>
        <item x="3"/>
        <item t="default"/>
      </items>
    </pivotField>
    <pivotField showAll="0"/>
    <pivotField axis="axisRow" showAll="0">
      <items count="6">
        <item x="0"/>
        <item x="1"/>
        <item x="4"/>
        <item x="2"/>
        <item x="3"/>
        <item t="default"/>
      </items>
    </pivotField>
    <pivotField showAll="0">
      <items count="3">
        <item x="0"/>
        <item x="1"/>
        <item t="default"/>
      </items>
    </pivotField>
    <pivotField showAll="0"/>
    <pivotField showAll="0"/>
    <pivotField showAll="0"/>
    <pivotField showAll="0"/>
    <pivotField showAll="0"/>
  </pivotFields>
  <rowFields count="1">
    <field x="12"/>
  </rowFields>
  <rowItems count="5">
    <i>
      <x/>
    </i>
    <i>
      <x v="1"/>
    </i>
    <i>
      <x v="2"/>
    </i>
    <i>
      <x v="3"/>
    </i>
    <i>
      <x v="4"/>
    </i>
  </rowItems>
  <colItems count="1">
    <i/>
  </colItems>
  <dataFields count="1">
    <dataField name="Count of Employee Id" fld="0" subtotal="count" baseField="0" baseItem="0"/>
  </dataFields>
  <chartFormats count="16">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2" count="1" selected="0">
            <x v="3"/>
          </reference>
        </references>
      </pivotArea>
    </chartFormat>
    <chartFormat chart="15" format="2">
      <pivotArea type="data" outline="0" fieldPosition="0">
        <references count="2">
          <reference field="4294967294" count="1" selected="0">
            <x v="0"/>
          </reference>
          <reference field="12" count="1" selected="0">
            <x v="2"/>
          </reference>
        </references>
      </pivotArea>
    </chartFormat>
    <chartFormat chart="15" format="3">
      <pivotArea type="data" outline="0" fieldPosition="0">
        <references count="2">
          <reference field="4294967294" count="1" selected="0">
            <x v="0"/>
          </reference>
          <reference field="12" count="1" selected="0">
            <x v="1"/>
          </reference>
        </references>
      </pivotArea>
    </chartFormat>
    <chartFormat chart="15" format="4">
      <pivotArea type="data" outline="0" fieldPosition="0">
        <references count="2">
          <reference field="4294967294" count="1" selected="0">
            <x v="0"/>
          </reference>
          <reference field="12"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2" count="1" selected="0">
            <x v="0"/>
          </reference>
        </references>
      </pivotArea>
    </chartFormat>
    <chartFormat chart="18" format="7">
      <pivotArea type="data" outline="0" fieldPosition="0">
        <references count="2">
          <reference field="4294967294" count="1" selected="0">
            <x v="0"/>
          </reference>
          <reference field="12" count="1" selected="0">
            <x v="1"/>
          </reference>
        </references>
      </pivotArea>
    </chartFormat>
    <chartFormat chart="18" format="8">
      <pivotArea type="data" outline="0" fieldPosition="0">
        <references count="2">
          <reference field="4294967294" count="1" selected="0">
            <x v="0"/>
          </reference>
          <reference field="12" count="1" selected="0">
            <x v="2"/>
          </reference>
        </references>
      </pivotArea>
    </chartFormat>
    <chartFormat chart="18" format="9">
      <pivotArea type="data" outline="0" fieldPosition="0">
        <references count="2">
          <reference field="4294967294" count="1" selected="0">
            <x v="0"/>
          </reference>
          <reference field="12"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2" count="1" selected="0">
            <x v="0"/>
          </reference>
        </references>
      </pivotArea>
    </chartFormat>
    <chartFormat chart="19" format="12">
      <pivotArea type="data" outline="0" fieldPosition="0">
        <references count="2">
          <reference field="4294967294" count="1" selected="0">
            <x v="0"/>
          </reference>
          <reference field="12" count="1" selected="0">
            <x v="1"/>
          </reference>
        </references>
      </pivotArea>
    </chartFormat>
    <chartFormat chart="19" format="13">
      <pivotArea type="data" outline="0" fieldPosition="0">
        <references count="2">
          <reference field="4294967294" count="1" selected="0">
            <x v="0"/>
          </reference>
          <reference field="12" count="1" selected="0">
            <x v="2"/>
          </reference>
        </references>
      </pivotArea>
    </chartFormat>
    <chartFormat chart="19"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8FE2EC-12E1-42C7-9B61-43E95B408C9B}" name="HC_By Marital"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7" rowHeaderCaption="Department">
  <location ref="J24:O30" firstHeaderRow="1" firstDataRow="2" firstDataCol="1"/>
  <pivotFields count="19">
    <pivotField dataField="1" showAll="0"/>
    <pivotField showAll="0"/>
    <pivotField showAll="0"/>
    <pivotField showAll="0">
      <items count="3">
        <item x="1"/>
        <item x="0"/>
        <item t="default"/>
      </items>
    </pivotField>
    <pivotField showAll="0"/>
    <pivotField showAll="0"/>
    <pivotField numFmtId="15"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Col" showAll="0">
      <items count="6">
        <item x="1"/>
        <item x="4"/>
        <item x="0"/>
        <item x="2"/>
        <item x="3"/>
        <item t="default"/>
      </items>
    </pivotField>
    <pivotField showAll="0"/>
    <pivotField axis="axisRow" showAll="0">
      <items count="6">
        <item x="0"/>
        <item x="1"/>
        <item x="4"/>
        <item x="3"/>
        <item x="2"/>
        <item t="default"/>
      </items>
    </pivotField>
    <pivotField showAll="0">
      <items count="3">
        <item x="0"/>
        <item x="1"/>
        <item t="default"/>
      </items>
    </pivotField>
    <pivotField showAll="0"/>
    <pivotField showAll="0"/>
    <pivotField showAll="0"/>
    <pivotField showAll="0"/>
    <pivotField showAll="0"/>
  </pivotFields>
  <rowFields count="1">
    <field x="12"/>
  </rowFields>
  <rowItems count="5">
    <i>
      <x/>
    </i>
    <i>
      <x v="1"/>
    </i>
    <i>
      <x v="2"/>
    </i>
    <i>
      <x v="3"/>
    </i>
    <i>
      <x v="4"/>
    </i>
  </rowItems>
  <colFields count="1">
    <field x="10"/>
  </colFields>
  <colItems count="5">
    <i>
      <x/>
    </i>
    <i>
      <x v="1"/>
    </i>
    <i>
      <x v="2"/>
    </i>
    <i>
      <x v="3"/>
    </i>
    <i>
      <x v="4"/>
    </i>
  </colItems>
  <dataFields count="1">
    <dataField name="Count of Employee Id" fld="0" subtotal="count" baseField="0" baseItem="0"/>
  </dataFields>
  <chartFormats count="21">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10" count="1" selected="0">
            <x v="1"/>
          </reference>
        </references>
      </pivotArea>
    </chartFormat>
    <chartFormat chart="18" format="4" series="1">
      <pivotArea type="data" outline="0" fieldPosition="0">
        <references count="2">
          <reference field="4294967294" count="1" selected="0">
            <x v="0"/>
          </reference>
          <reference field="10" count="1" selected="0">
            <x v="2"/>
          </reference>
        </references>
      </pivotArea>
    </chartFormat>
    <chartFormat chart="18" format="5" series="1">
      <pivotArea type="data" outline="0" fieldPosition="0">
        <references count="2">
          <reference field="4294967294" count="1" selected="0">
            <x v="0"/>
          </reference>
          <reference field="10" count="1" selected="0">
            <x v="3"/>
          </reference>
        </references>
      </pivotArea>
    </chartFormat>
    <chartFormat chart="18" format="6" series="1">
      <pivotArea type="data" outline="0" fieldPosition="0">
        <references count="2">
          <reference field="4294967294" count="1" selected="0">
            <x v="0"/>
          </reference>
          <reference field="10" count="1" selected="0">
            <x v="4"/>
          </reference>
        </references>
      </pivotArea>
    </chartFormat>
    <chartFormat chart="18" format="7" series="1">
      <pivotArea type="data" outline="0" fieldPosition="0">
        <references count="2">
          <reference field="4294967294" count="1" selected="0">
            <x v="0"/>
          </reference>
          <reference field="10" count="1" selected="0">
            <x v="0"/>
          </reference>
        </references>
      </pivotArea>
    </chartFormat>
    <chartFormat chart="25" format="8" series="1">
      <pivotArea type="data" outline="0" fieldPosition="0">
        <references count="2">
          <reference field="4294967294" count="1" selected="0">
            <x v="0"/>
          </reference>
          <reference field="10" count="1" selected="0">
            <x v="0"/>
          </reference>
        </references>
      </pivotArea>
    </chartFormat>
    <chartFormat chart="25" format="9" series="1">
      <pivotArea type="data" outline="0" fieldPosition="0">
        <references count="2">
          <reference field="4294967294" count="1" selected="0">
            <x v="0"/>
          </reference>
          <reference field="10" count="1" selected="0">
            <x v="1"/>
          </reference>
        </references>
      </pivotArea>
    </chartFormat>
    <chartFormat chart="25" format="10" series="1">
      <pivotArea type="data" outline="0" fieldPosition="0">
        <references count="2">
          <reference field="4294967294" count="1" selected="0">
            <x v="0"/>
          </reference>
          <reference field="10" count="1" selected="0">
            <x v="2"/>
          </reference>
        </references>
      </pivotArea>
    </chartFormat>
    <chartFormat chart="25" format="11" series="1">
      <pivotArea type="data" outline="0" fieldPosition="0">
        <references count="2">
          <reference field="4294967294" count="1" selected="0">
            <x v="0"/>
          </reference>
          <reference field="10" count="1" selected="0">
            <x v="3"/>
          </reference>
        </references>
      </pivotArea>
    </chartFormat>
    <chartFormat chart="25" format="12" series="1">
      <pivotArea type="data" outline="0" fieldPosition="0">
        <references count="2">
          <reference field="4294967294" count="1" selected="0">
            <x v="0"/>
          </reference>
          <reference field="10" count="1" selected="0">
            <x v="4"/>
          </reference>
        </references>
      </pivotArea>
    </chartFormat>
    <chartFormat chart="26" format="13" series="1">
      <pivotArea type="data" outline="0" fieldPosition="0">
        <references count="2">
          <reference field="4294967294" count="1" selected="0">
            <x v="0"/>
          </reference>
          <reference field="10" count="1" selected="0">
            <x v="0"/>
          </reference>
        </references>
      </pivotArea>
    </chartFormat>
    <chartFormat chart="26" format="14" series="1">
      <pivotArea type="data" outline="0" fieldPosition="0">
        <references count="2">
          <reference field="4294967294" count="1" selected="0">
            <x v="0"/>
          </reference>
          <reference field="10" count="1" selected="0">
            <x v="1"/>
          </reference>
        </references>
      </pivotArea>
    </chartFormat>
    <chartFormat chart="26" format="15" series="1">
      <pivotArea type="data" outline="0" fieldPosition="0">
        <references count="2">
          <reference field="4294967294" count="1" selected="0">
            <x v="0"/>
          </reference>
          <reference field="10" count="1" selected="0">
            <x v="2"/>
          </reference>
        </references>
      </pivotArea>
    </chartFormat>
    <chartFormat chart="26" format="16" series="1">
      <pivotArea type="data" outline="0" fieldPosition="0">
        <references count="2">
          <reference field="4294967294" count="1" selected="0">
            <x v="0"/>
          </reference>
          <reference field="10" count="1" selected="0">
            <x v="3"/>
          </reference>
        </references>
      </pivotArea>
    </chartFormat>
    <chartFormat chart="26" format="17" series="1">
      <pivotArea type="data" outline="0" fieldPosition="0">
        <references count="2">
          <reference field="4294967294" count="1" selected="0">
            <x v="0"/>
          </reference>
          <reference field="10" count="1" selected="0">
            <x v="4"/>
          </reference>
        </references>
      </pivotArea>
    </chartFormat>
    <chartFormat chart="26" format="18"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04D0B-67FF-435E-9F10-F1B1A5A7CD1E}" name="HC_By Vehicl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8" rowHeaderCaption="Department">
  <location ref="J1:L7" firstHeaderRow="1" firstDataRow="2" firstDataCol="1"/>
  <pivotFields count="19">
    <pivotField dataField="1" showAll="0"/>
    <pivotField showAll="0"/>
    <pivotField showAll="0"/>
    <pivotField axis="axisCol" showAll="0">
      <items count="3">
        <item x="1"/>
        <item x="0"/>
        <item t="default"/>
      </items>
    </pivotField>
    <pivotField showAll="0"/>
    <pivotField showAll="0"/>
    <pivotField numFmtId="15"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6">
        <item x="1"/>
        <item x="4"/>
        <item x="0"/>
        <item x="2"/>
        <item x="3"/>
        <item t="default"/>
      </items>
    </pivotField>
    <pivotField showAll="0"/>
    <pivotField showAll="0">
      <items count="6">
        <item x="0"/>
        <item x="1"/>
        <item x="4"/>
        <item x="3"/>
        <item x="2"/>
        <item t="default"/>
      </items>
    </pivotField>
    <pivotField showAll="0">
      <items count="3">
        <item x="0"/>
        <item x="1"/>
        <item t="default"/>
      </items>
    </pivotField>
    <pivotField showAll="0"/>
    <pivotField showAll="0"/>
    <pivotField showAll="0"/>
    <pivotField showAll="0"/>
    <pivotField showAll="0"/>
  </pivotFields>
  <rowFields count="1">
    <field x="10"/>
  </rowFields>
  <rowItems count="5">
    <i>
      <x/>
    </i>
    <i>
      <x v="1"/>
    </i>
    <i>
      <x v="2"/>
    </i>
    <i>
      <x v="3"/>
    </i>
    <i>
      <x v="4"/>
    </i>
  </rowItems>
  <colFields count="1">
    <field x="3"/>
  </colFields>
  <colItems count="2">
    <i>
      <x/>
    </i>
    <i>
      <x v="1"/>
    </i>
  </colItems>
  <dataFields count="1">
    <dataField name="Count of Employee Id" fld="0" subtotal="count" baseField="0" baseItem="0"/>
  </dataFields>
  <chartFormats count="15">
    <chartFormat chart="29" format="3" series="1">
      <pivotArea type="data" outline="0" fieldPosition="0">
        <references count="1">
          <reference field="4294967294" count="1" selected="0">
            <x v="0"/>
          </reference>
        </references>
      </pivotArea>
    </chartFormat>
    <chartFormat chart="29" format="4" series="1">
      <pivotArea type="data" outline="0" fieldPosition="0">
        <references count="2">
          <reference field="4294967294" count="1" selected="0">
            <x v="0"/>
          </reference>
          <reference field="3" count="1" selected="0">
            <x v="1"/>
          </reference>
        </references>
      </pivotArea>
    </chartFormat>
    <chartFormat chart="29" format="5" series="1">
      <pivotArea type="data" outline="0" fieldPosition="0">
        <references count="2">
          <reference field="4294967294" count="1" selected="0">
            <x v="0"/>
          </reference>
          <reference field="3" count="1" selected="0">
            <x v="0"/>
          </reference>
        </references>
      </pivotArea>
    </chartFormat>
    <chartFormat chart="41" format="6" series="1">
      <pivotArea type="data" outline="0" fieldPosition="0">
        <references count="2">
          <reference field="4294967294" count="1" selected="0">
            <x v="0"/>
          </reference>
          <reference field="3" count="1" selected="0">
            <x v="0"/>
          </reference>
        </references>
      </pivotArea>
    </chartFormat>
    <chartFormat chart="41" format="7" series="1">
      <pivotArea type="data" outline="0" fieldPosition="0">
        <references count="2">
          <reference field="4294967294" count="1" selected="0">
            <x v="0"/>
          </reference>
          <reference field="3" count="1" selected="0">
            <x v="1"/>
          </reference>
        </references>
      </pivotArea>
    </chartFormat>
    <chartFormat chart="42" format="8" series="1">
      <pivotArea type="data" outline="0" fieldPosition="0">
        <references count="2">
          <reference field="4294967294" count="1" selected="0">
            <x v="0"/>
          </reference>
          <reference field="3" count="1" selected="0">
            <x v="0"/>
          </reference>
        </references>
      </pivotArea>
    </chartFormat>
    <chartFormat chart="42" format="9" series="1">
      <pivotArea type="data" outline="0" fieldPosition="0">
        <references count="2">
          <reference field="4294967294" count="1" selected="0">
            <x v="0"/>
          </reference>
          <reference field="3" count="1" selected="0">
            <x v="1"/>
          </reference>
        </references>
      </pivotArea>
    </chartFormat>
    <chartFormat chart="42" format="10"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 chart="55" format="6" series="1">
      <pivotArea type="data" outline="0" fieldPosition="0">
        <references count="2">
          <reference field="4294967294" count="1" selected="0">
            <x v="0"/>
          </reference>
          <reference field="3" count="1" selected="0">
            <x v="0"/>
          </reference>
        </references>
      </pivotArea>
    </chartFormat>
    <chartFormat chart="55" format="7" series="1">
      <pivotArea type="data" outline="0" fieldPosition="0">
        <references count="2">
          <reference field="4294967294" count="1" selected="0">
            <x v="0"/>
          </reference>
          <reference field="3" count="1" selected="0">
            <x v="1"/>
          </reference>
        </references>
      </pivotArea>
    </chartFormat>
    <chartFormat chart="56" format="8" series="1">
      <pivotArea type="data" outline="0" fieldPosition="0">
        <references count="2">
          <reference field="4294967294" count="1" selected="0">
            <x v="0"/>
          </reference>
          <reference field="3" count="1" selected="0">
            <x v="0"/>
          </reference>
        </references>
      </pivotArea>
    </chartFormat>
    <chartFormat chart="56" format="9" series="1">
      <pivotArea type="data" outline="0" fieldPosition="0">
        <references count="2">
          <reference field="4294967294" count="1" selected="0">
            <x v="0"/>
          </reference>
          <reference field="3" count="1" selected="0">
            <x v="1"/>
          </reference>
        </references>
      </pivotArea>
    </chartFormat>
    <chartFormat chart="57" format="8" series="1">
      <pivotArea type="data" outline="0" fieldPosition="0">
        <references count="2">
          <reference field="4294967294" count="1" selected="0">
            <x v="0"/>
          </reference>
          <reference field="3" count="1" selected="0">
            <x v="0"/>
          </reference>
        </references>
      </pivotArea>
    </chartFormat>
    <chartFormat chart="57"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8959E5-5BEE-48BC-8D76-A5DB2C875404}" name="StatsCompare"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rowHeaderCaption="Department">
  <location ref="L21:N24" firstHeaderRow="0" firstDataRow="1" firstDataCol="1"/>
  <pivotFields count="22">
    <pivotField axis="axisRow" numFmtId="166" showAll="0">
      <items count="4">
        <item x="0"/>
        <item x="1"/>
        <item x="2"/>
        <item t="default"/>
      </items>
    </pivotField>
    <pivotField showAll="0"/>
    <pivotField numFmtId="15" showAll="0"/>
    <pivotField showAll="0"/>
    <pivotField showAll="0"/>
    <pivotField showAll="0">
      <items count="6">
        <item x="1"/>
        <item x="4"/>
        <item x="0"/>
        <item x="2"/>
        <item x="3"/>
        <item t="default"/>
      </items>
    </pivotField>
    <pivotField showAll="0">
      <items count="6">
        <item x="0"/>
        <item x="1"/>
        <item x="4"/>
        <item x="3"/>
        <item x="2"/>
        <item t="default"/>
      </items>
    </pivotField>
    <pivotField showAll="0"/>
    <pivotField showAll="0"/>
    <pivotField showAll="0"/>
    <pivotField numFmtId="4" showAll="0"/>
    <pivotField numFmtId="4" showAll="0"/>
    <pivotField numFmtId="4" showAll="0"/>
    <pivotField numFmtId="4" showAll="0"/>
    <pivotField numFmtId="4" showAll="0"/>
    <pivotField numFmtId="4" showAll="0"/>
    <pivotField numFmtId="4" showAll="0"/>
    <pivotField numFmtId="4" showAll="0"/>
    <pivotField dataField="1" numFmtId="4" showAll="0"/>
    <pivotField dataField="1" numFmtId="4" showAll="0"/>
    <pivotField numFmtId="4" showAll="0"/>
    <pivotField numFmtId="4" showAll="0"/>
  </pivotFields>
  <rowFields count="1">
    <field x="0"/>
  </rowFields>
  <rowItems count="3">
    <i>
      <x/>
    </i>
    <i>
      <x v="1"/>
    </i>
    <i>
      <x v="2"/>
    </i>
  </rowItems>
  <colFields count="1">
    <field x="-2"/>
  </colFields>
  <colItems count="2">
    <i>
      <x/>
    </i>
    <i i="1">
      <x v="1"/>
    </i>
  </colItems>
  <dataFields count="2">
    <dataField name="Sum of Employee PF" fld="18" baseField="0" baseItem="0" numFmtId="165"/>
    <dataField name="Sum of Income Tax" fld="19" baseField="0" baseItem="0" numFmtId="165"/>
  </dataFields>
  <chartFormats count="6">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5" format="2"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6939B0-F13E-4138-9B45-3AE15ADFAA76}" name="NS_By Location"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rowHeaderCaption="Location">
  <location ref="F1:I7" firstHeaderRow="1" firstDataRow="2" firstDataCol="1"/>
  <pivotFields count="22">
    <pivotField axis="axisCol" numFmtId="166" showAll="0">
      <items count="4">
        <item x="0"/>
        <item x="1"/>
        <item x="2"/>
        <item t="default"/>
      </items>
    </pivotField>
    <pivotField showAll="0"/>
    <pivotField numFmtId="15" showAll="0"/>
    <pivotField showAll="0"/>
    <pivotField showAll="0"/>
    <pivotField showAll="0">
      <items count="6">
        <item x="1"/>
        <item x="4"/>
        <item x="0"/>
        <item x="2"/>
        <item x="3"/>
        <item t="default"/>
      </items>
    </pivotField>
    <pivotField axis="axisRow" showAll="0">
      <items count="6">
        <item x="0"/>
        <item x="1"/>
        <item x="4"/>
        <item x="3"/>
        <item x="2"/>
        <item t="default"/>
      </items>
    </pivotField>
    <pivotField showAll="0"/>
    <pivotField showAll="0"/>
    <pivotField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dataField="1" numFmtId="4" showAll="0"/>
  </pivotFields>
  <rowFields count="1">
    <field x="6"/>
  </rowFields>
  <rowItems count="5">
    <i>
      <x/>
    </i>
    <i>
      <x v="1"/>
    </i>
    <i>
      <x v="2"/>
    </i>
    <i>
      <x v="3"/>
    </i>
    <i>
      <x v="4"/>
    </i>
  </rowItems>
  <colFields count="1">
    <field x="0"/>
  </colFields>
  <colItems count="3">
    <i>
      <x/>
    </i>
    <i>
      <x v="1"/>
    </i>
    <i>
      <x v="2"/>
    </i>
  </colItems>
  <dataFields count="1">
    <dataField name="Sum of Net Salary" fld="21" baseField="5" baseItem="0" numFmtId="165"/>
  </dataFields>
  <chartFormats count="17">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0" format="2" series="1">
      <pivotArea type="data" outline="0" fieldPosition="0">
        <references count="2">
          <reference field="4294967294" count="1" selected="0">
            <x v="0"/>
          </reference>
          <reference field="0" count="1" selected="0">
            <x v="2"/>
          </reference>
        </references>
      </pivotArea>
    </chartFormat>
    <chartFormat chart="29" format="3" series="1">
      <pivotArea type="data" outline="0" fieldPosition="0">
        <references count="2">
          <reference field="4294967294" count="1" selected="0">
            <x v="0"/>
          </reference>
          <reference field="0" count="1" selected="0">
            <x v="0"/>
          </reference>
        </references>
      </pivotArea>
    </chartFormat>
    <chartFormat chart="29" format="4" series="1">
      <pivotArea type="data" outline="0" fieldPosition="0">
        <references count="2">
          <reference field="4294967294" count="1" selected="0">
            <x v="0"/>
          </reference>
          <reference field="0" count="1" selected="0">
            <x v="1"/>
          </reference>
        </references>
      </pivotArea>
    </chartFormat>
    <chartFormat chart="29" format="5" series="1">
      <pivotArea type="data" outline="0" fieldPosition="0">
        <references count="2">
          <reference field="4294967294" count="1" selected="0">
            <x v="0"/>
          </reference>
          <reference field="0" count="1" selected="0">
            <x v="2"/>
          </reference>
        </references>
      </pivotArea>
    </chartFormat>
    <chartFormat chart="31" format="0" series="1">
      <pivotArea type="data" outline="0" fieldPosition="0">
        <references count="2">
          <reference field="4294967294" count="1" selected="0">
            <x v="0"/>
          </reference>
          <reference field="0" count="1" selected="0">
            <x v="0"/>
          </reference>
        </references>
      </pivotArea>
    </chartFormat>
    <chartFormat chart="31" format="1" series="1">
      <pivotArea type="data" outline="0" fieldPosition="0">
        <references count="2">
          <reference field="4294967294" count="1" selected="0">
            <x v="0"/>
          </reference>
          <reference field="0" count="1" selected="0">
            <x v="1"/>
          </reference>
        </references>
      </pivotArea>
    </chartFormat>
    <chartFormat chart="31" format="2" series="1">
      <pivotArea type="data" outline="0" fieldPosition="0">
        <references count="2">
          <reference field="4294967294" count="1" selected="0">
            <x v="0"/>
          </reference>
          <reference field="0" count="1" selected="0">
            <x v="2"/>
          </reference>
        </references>
      </pivotArea>
    </chartFormat>
    <chartFormat chart="31" format="3" series="1">
      <pivotArea type="data" outline="0" fieldPosition="0">
        <references count="1">
          <reference field="4294967294" count="1" selected="0">
            <x v="0"/>
          </reference>
        </references>
      </pivotArea>
    </chartFormat>
    <chartFormat chart="40" format="7" series="1">
      <pivotArea type="data" outline="0" fieldPosition="0">
        <references count="2">
          <reference field="4294967294" count="1" selected="0">
            <x v="0"/>
          </reference>
          <reference field="0" count="1" selected="0">
            <x v="0"/>
          </reference>
        </references>
      </pivotArea>
    </chartFormat>
    <chartFormat chart="40" format="8" series="1">
      <pivotArea type="data" outline="0" fieldPosition="0">
        <references count="2">
          <reference field="4294967294" count="1" selected="0">
            <x v="0"/>
          </reference>
          <reference field="0" count="1" selected="0">
            <x v="1"/>
          </reference>
        </references>
      </pivotArea>
    </chartFormat>
    <chartFormat chart="40" format="9" series="1">
      <pivotArea type="data" outline="0" fieldPosition="0">
        <references count="2">
          <reference field="4294967294" count="1" selected="0">
            <x v="0"/>
          </reference>
          <reference field="0" count="1" selected="0">
            <x v="2"/>
          </reference>
        </references>
      </pivotArea>
    </chartFormat>
    <chartFormat chart="4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61A67B-CEF9-4B4F-9942-4A79E5DC9005}" name="NS_By Dep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Department">
  <location ref="A1:D7" firstHeaderRow="1" firstDataRow="2" firstDataCol="1"/>
  <pivotFields count="22">
    <pivotField axis="axisCol" numFmtId="166" showAll="0">
      <items count="4">
        <item x="0"/>
        <item x="1"/>
        <item x="2"/>
        <item t="default"/>
      </items>
    </pivotField>
    <pivotField showAll="0"/>
    <pivotField numFmtId="15" showAll="0"/>
    <pivotField showAll="0"/>
    <pivotField showAll="0"/>
    <pivotField axis="axisRow" showAll="0">
      <items count="6">
        <item x="1"/>
        <item x="4"/>
        <item x="0"/>
        <item x="2"/>
        <item x="3"/>
        <item t="default"/>
      </items>
    </pivotField>
    <pivotField showAll="0">
      <items count="6">
        <item x="0"/>
        <item x="1"/>
        <item x="4"/>
        <item x="3"/>
        <item x="2"/>
        <item t="default"/>
      </items>
    </pivotField>
    <pivotField showAll="0"/>
    <pivotField showAll="0"/>
    <pivotField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dataField="1" numFmtId="4" showAll="0"/>
  </pivotFields>
  <rowFields count="1">
    <field x="5"/>
  </rowFields>
  <rowItems count="5">
    <i>
      <x/>
    </i>
    <i>
      <x v="1"/>
    </i>
    <i>
      <x v="2"/>
    </i>
    <i>
      <x v="3"/>
    </i>
    <i>
      <x v="4"/>
    </i>
  </rowItems>
  <colFields count="1">
    <field x="0"/>
  </colFields>
  <colItems count="3">
    <i>
      <x/>
    </i>
    <i>
      <x v="1"/>
    </i>
    <i>
      <x v="2"/>
    </i>
  </colItems>
  <dataFields count="1">
    <dataField name="Sum of Net Salary" fld="21" baseField="5" baseItem="0" numFmtId="165"/>
  </dataFields>
  <chartFormats count="1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0" format="2" series="1">
      <pivotArea type="data" outline="0" fieldPosition="0">
        <references count="2">
          <reference field="4294967294" count="1" selected="0">
            <x v="0"/>
          </reference>
          <reference field="0" count="1" selected="0">
            <x v="2"/>
          </reference>
        </references>
      </pivotArea>
    </chartFormat>
    <chartFormat chart="29" format="3" series="1">
      <pivotArea type="data" outline="0" fieldPosition="0">
        <references count="2">
          <reference field="4294967294" count="1" selected="0">
            <x v="0"/>
          </reference>
          <reference field="0" count="1" selected="0">
            <x v="0"/>
          </reference>
        </references>
      </pivotArea>
    </chartFormat>
    <chartFormat chart="29" format="4" series="1">
      <pivotArea type="data" outline="0" fieldPosition="0">
        <references count="2">
          <reference field="4294967294" count="1" selected="0">
            <x v="0"/>
          </reference>
          <reference field="0" count="1" selected="0">
            <x v="1"/>
          </reference>
        </references>
      </pivotArea>
    </chartFormat>
    <chartFormat chart="29" format="5" series="1">
      <pivotArea type="data" outline="0" fieldPosition="0">
        <references count="2">
          <reference field="4294967294" count="1" selected="0">
            <x v="0"/>
          </reference>
          <reference field="0" count="1" selected="0">
            <x v="2"/>
          </reference>
        </references>
      </pivotArea>
    </chartFormat>
    <chartFormat chart="29" format="6" series="1">
      <pivotArea type="data" outline="0" fieldPosition="0">
        <references count="1">
          <reference field="4294967294" count="1" selected="0">
            <x v="0"/>
          </reference>
        </references>
      </pivotArea>
    </chartFormat>
    <chartFormat chart="38" format="10" series="1">
      <pivotArea type="data" outline="0" fieldPosition="0">
        <references count="2">
          <reference field="4294967294" count="1" selected="0">
            <x v="0"/>
          </reference>
          <reference field="0" count="1" selected="0">
            <x v="0"/>
          </reference>
        </references>
      </pivotArea>
    </chartFormat>
    <chartFormat chart="38" format="11" series="1">
      <pivotArea type="data" outline="0" fieldPosition="0">
        <references count="2">
          <reference field="4294967294" count="1" selected="0">
            <x v="0"/>
          </reference>
          <reference field="0" count="1" selected="0">
            <x v="1"/>
          </reference>
        </references>
      </pivotArea>
    </chartFormat>
    <chartFormat chart="38" format="12" series="1">
      <pivotArea type="data" outline="0" fieldPosition="0">
        <references count="2">
          <reference field="4294967294" count="1" selected="0">
            <x v="0"/>
          </reference>
          <reference field="0" count="1" selected="0">
            <x v="2"/>
          </reference>
        </references>
      </pivotArea>
    </chartFormat>
    <chartFormat chart="3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F1E223-E990-43A7-86BE-BF308FDFFF1E}" name="LOP_By Location"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rowHeaderCaption="Department">
  <location ref="A26:B31" firstHeaderRow="1" firstDataRow="1" firstDataCol="1"/>
  <pivotFields count="22">
    <pivotField numFmtId="166" showAll="0">
      <items count="4">
        <item x="0"/>
        <item x="1"/>
        <item x="2"/>
        <item t="default"/>
      </items>
    </pivotField>
    <pivotField showAll="0"/>
    <pivotField numFmtId="15" showAll="0"/>
    <pivotField showAll="0"/>
    <pivotField showAll="0"/>
    <pivotField showAll="0">
      <items count="6">
        <item x="1"/>
        <item x="4"/>
        <item x="0"/>
        <item x="2"/>
        <item x="3"/>
        <item t="default"/>
      </items>
    </pivotField>
    <pivotField axis="axisRow" showAll="0">
      <items count="6">
        <item x="0"/>
        <item x="1"/>
        <item x="4"/>
        <item x="3"/>
        <item x="2"/>
        <item t="default"/>
      </items>
    </pivotField>
    <pivotField dataField="1" showAll="0"/>
    <pivotField showAll="0"/>
    <pivotField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s>
  <rowFields count="1">
    <field x="6"/>
  </rowFields>
  <rowItems count="5">
    <i>
      <x/>
    </i>
    <i>
      <x v="1"/>
    </i>
    <i>
      <x v="2"/>
    </i>
    <i>
      <x v="3"/>
    </i>
    <i>
      <x v="4"/>
    </i>
  </rowItems>
  <colItems count="1">
    <i/>
  </colItems>
  <dataFields count="1">
    <dataField name="Sum of LOP Days" fld="7" baseField="0" baseItem="0"/>
  </dataFields>
  <chartFormats count="12">
    <chartFormat chart="48" format="1" series="1">
      <pivotArea type="data" outline="0" fieldPosition="0">
        <references count="1">
          <reference field="4294967294" count="1" selected="0">
            <x v="0"/>
          </reference>
        </references>
      </pivotArea>
    </chartFormat>
    <chartFormat chart="48" format="2">
      <pivotArea type="data" outline="0" fieldPosition="0">
        <references count="2">
          <reference field="4294967294" count="1" selected="0">
            <x v="0"/>
          </reference>
          <reference field="6" count="1" selected="0">
            <x v="0"/>
          </reference>
        </references>
      </pivotArea>
    </chartFormat>
    <chartFormat chart="48" format="3">
      <pivotArea type="data" outline="0" fieldPosition="0">
        <references count="2">
          <reference field="4294967294" count="1" selected="0">
            <x v="0"/>
          </reference>
          <reference field="6" count="1" selected="0">
            <x v="1"/>
          </reference>
        </references>
      </pivotArea>
    </chartFormat>
    <chartFormat chart="48" format="4">
      <pivotArea type="data" outline="0" fieldPosition="0">
        <references count="2">
          <reference field="4294967294" count="1" selected="0">
            <x v="0"/>
          </reference>
          <reference field="6" count="1" selected="0">
            <x v="2"/>
          </reference>
        </references>
      </pivotArea>
    </chartFormat>
    <chartFormat chart="48" format="5">
      <pivotArea type="data" outline="0" fieldPosition="0">
        <references count="2">
          <reference field="4294967294" count="1" selected="0">
            <x v="0"/>
          </reference>
          <reference field="6" count="1" selected="0">
            <x v="3"/>
          </reference>
        </references>
      </pivotArea>
    </chartFormat>
    <chartFormat chart="48" format="6">
      <pivotArea type="data" outline="0" fieldPosition="0">
        <references count="2">
          <reference field="4294967294" count="1" selected="0">
            <x v="0"/>
          </reference>
          <reference field="6" count="1" selected="0">
            <x v="4"/>
          </reference>
        </references>
      </pivotArea>
    </chartFormat>
    <chartFormat chart="53" format="13" series="1">
      <pivotArea type="data" outline="0" fieldPosition="0">
        <references count="1">
          <reference field="4294967294" count="1" selected="0">
            <x v="0"/>
          </reference>
        </references>
      </pivotArea>
    </chartFormat>
    <chartFormat chart="53" format="14">
      <pivotArea type="data" outline="0" fieldPosition="0">
        <references count="2">
          <reference field="4294967294" count="1" selected="0">
            <x v="0"/>
          </reference>
          <reference field="6" count="1" selected="0">
            <x v="0"/>
          </reference>
        </references>
      </pivotArea>
    </chartFormat>
    <chartFormat chart="53" format="15">
      <pivotArea type="data" outline="0" fieldPosition="0">
        <references count="2">
          <reference field="4294967294" count="1" selected="0">
            <x v="0"/>
          </reference>
          <reference field="6" count="1" selected="0">
            <x v="1"/>
          </reference>
        </references>
      </pivotArea>
    </chartFormat>
    <chartFormat chart="53" format="16">
      <pivotArea type="data" outline="0" fieldPosition="0">
        <references count="2">
          <reference field="4294967294" count="1" selected="0">
            <x v="0"/>
          </reference>
          <reference field="6" count="1" selected="0">
            <x v="2"/>
          </reference>
        </references>
      </pivotArea>
    </chartFormat>
    <chartFormat chart="53" format="17">
      <pivotArea type="data" outline="0" fieldPosition="0">
        <references count="2">
          <reference field="4294967294" count="1" selected="0">
            <x v="0"/>
          </reference>
          <reference field="6" count="1" selected="0">
            <x v="3"/>
          </reference>
        </references>
      </pivotArea>
    </chartFormat>
    <chartFormat chart="53" format="1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B6EB6B-588D-4295-A4A5-9E7C4EA03AAA}" name="OT_By Dep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rowHeaderCaption="Department">
  <location ref="O1:P6" firstHeaderRow="1" firstDataRow="1" firstDataCol="1"/>
  <pivotFields count="22">
    <pivotField numFmtId="166" showAll="0">
      <items count="4">
        <item x="0"/>
        <item x="1"/>
        <item x="2"/>
        <item t="default"/>
      </items>
    </pivotField>
    <pivotField showAll="0"/>
    <pivotField numFmtId="15" showAll="0"/>
    <pivotField showAll="0"/>
    <pivotField showAll="0"/>
    <pivotField axis="axisRow" showAll="0">
      <items count="6">
        <item x="1"/>
        <item x="4"/>
        <item x="0"/>
        <item x="2"/>
        <item x="3"/>
        <item t="default"/>
      </items>
    </pivotField>
    <pivotField showAll="0">
      <items count="6">
        <item x="0"/>
        <item x="1"/>
        <item x="4"/>
        <item x="3"/>
        <item x="2"/>
        <item t="default"/>
      </items>
    </pivotField>
    <pivotField showAll="0"/>
    <pivotField showAll="0"/>
    <pivotField dataField="1"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 numFmtId="4" showAll="0"/>
  </pivotFields>
  <rowFields count="1">
    <field x="5"/>
  </rowFields>
  <rowItems count="5">
    <i>
      <x/>
    </i>
    <i>
      <x v="1"/>
    </i>
    <i>
      <x v="2"/>
    </i>
    <i>
      <x v="3"/>
    </i>
    <i>
      <x v="4"/>
    </i>
  </rowItems>
  <colItems count="1">
    <i/>
  </colItems>
  <dataFields count="1">
    <dataField name="Sum of OT Hours" fld="9" baseField="0" baseItem="0"/>
  </dataFields>
  <chartFormats count="2">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3A2CAD-6990-40B9-9B36-F00A050BA1E5}" name="GS &amp; NS by Month"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rowHeaderCaption="Month">
  <location ref="K1:M4" firstHeaderRow="0" firstDataRow="1" firstDataCol="1"/>
  <pivotFields count="22">
    <pivotField axis="axisRow" numFmtId="166" showAll="0">
      <items count="4">
        <item x="0"/>
        <item x="1"/>
        <item x="2"/>
        <item t="default"/>
      </items>
    </pivotField>
    <pivotField showAll="0"/>
    <pivotField numFmtId="15" showAll="0"/>
    <pivotField showAll="0"/>
    <pivotField showAll="0"/>
    <pivotField showAll="0">
      <items count="6">
        <item x="1"/>
        <item x="4"/>
        <item x="0"/>
        <item x="2"/>
        <item x="3"/>
        <item t="default"/>
      </items>
    </pivotField>
    <pivotField showAll="0">
      <items count="6">
        <item x="0"/>
        <item x="1"/>
        <item x="4"/>
        <item x="3"/>
        <item x="2"/>
        <item t="default"/>
      </items>
    </pivotField>
    <pivotField showAll="0"/>
    <pivotField showAll="0"/>
    <pivotField showAll="0"/>
    <pivotField numFmtId="4" showAll="0"/>
    <pivotField numFmtId="4" showAll="0"/>
    <pivotField numFmtId="4" showAll="0"/>
    <pivotField numFmtId="4" showAll="0"/>
    <pivotField numFmtId="4" showAll="0"/>
    <pivotField numFmtId="4" showAll="0"/>
    <pivotField numFmtId="4" showAll="0"/>
    <pivotField dataField="1" numFmtId="4" showAll="0"/>
    <pivotField numFmtId="4" showAll="0"/>
    <pivotField numFmtId="4" showAll="0"/>
    <pivotField numFmtId="4" showAll="0"/>
    <pivotField dataField="1" numFmtId="4" showAll="0"/>
  </pivotFields>
  <rowFields count="1">
    <field x="0"/>
  </rowFields>
  <rowItems count="3">
    <i>
      <x/>
    </i>
    <i>
      <x v="1"/>
    </i>
    <i>
      <x v="2"/>
    </i>
  </rowItems>
  <colFields count="1">
    <field x="-2"/>
  </colFields>
  <colItems count="2">
    <i>
      <x/>
    </i>
    <i i="1">
      <x v="1"/>
    </i>
  </colItems>
  <dataFields count="2">
    <dataField name="Sum of Gross Salary" fld="17" baseField="0" baseItem="0" numFmtId="165"/>
    <dataField name="Sum of Net Salary" fld="21" baseField="0" baseItem="0" numFmtId="165"/>
  </dataFields>
  <chartFormats count="16">
    <chartFormat chart="1" format="0" series="1">
      <pivotArea type="data" outline="0" fieldPosition="0">
        <references count="2">
          <reference field="4294967294" count="1" selected="0">
            <x v="1"/>
          </reference>
          <reference field="0" count="1" selected="0">
            <x v="0"/>
          </reference>
        </references>
      </pivotArea>
    </chartFormat>
    <chartFormat chart="1" format="1" series="1">
      <pivotArea type="data" outline="0" fieldPosition="0">
        <references count="2">
          <reference field="4294967294" count="1" selected="0">
            <x v="1"/>
          </reference>
          <reference field="0" count="1" selected="0">
            <x v="1"/>
          </reference>
        </references>
      </pivotArea>
    </chartFormat>
    <chartFormat chart="1" format="2" series="1">
      <pivotArea type="data" outline="0" fieldPosition="0">
        <references count="2">
          <reference field="4294967294" count="1" selected="0">
            <x v="1"/>
          </reference>
          <reference field="0" count="1" selected="0">
            <x v="2"/>
          </reference>
        </references>
      </pivotArea>
    </chartFormat>
    <chartFormat chart="20" format="0" series="1">
      <pivotArea type="data" outline="0" fieldPosition="0">
        <references count="2">
          <reference field="4294967294" count="1" selected="0">
            <x v="1"/>
          </reference>
          <reference field="0" count="1" selected="0">
            <x v="0"/>
          </reference>
        </references>
      </pivotArea>
    </chartFormat>
    <chartFormat chart="20" format="1" series="1">
      <pivotArea type="data" outline="0" fieldPosition="0">
        <references count="2">
          <reference field="4294967294" count="1" selected="0">
            <x v="1"/>
          </reference>
          <reference field="0" count="1" selected="0">
            <x v="1"/>
          </reference>
        </references>
      </pivotArea>
    </chartFormat>
    <chartFormat chart="20" format="2" series="1">
      <pivotArea type="data" outline="0" fieldPosition="0">
        <references count="2">
          <reference field="4294967294" count="1" selected="0">
            <x v="1"/>
          </reference>
          <reference field="0" count="1" selected="0">
            <x v="2"/>
          </reference>
        </references>
      </pivotArea>
    </chartFormat>
    <chartFormat chart="29" format="3" series="1">
      <pivotArea type="data" outline="0" fieldPosition="0">
        <references count="2">
          <reference field="4294967294" count="1" selected="0">
            <x v="1"/>
          </reference>
          <reference field="0" count="1" selected="0">
            <x v="0"/>
          </reference>
        </references>
      </pivotArea>
    </chartFormat>
    <chartFormat chart="29" format="4" series="1">
      <pivotArea type="data" outline="0" fieldPosition="0">
        <references count="2">
          <reference field="4294967294" count="1" selected="0">
            <x v="1"/>
          </reference>
          <reference field="0" count="1" selected="0">
            <x v="1"/>
          </reference>
        </references>
      </pivotArea>
    </chartFormat>
    <chartFormat chart="29" format="5" series="1">
      <pivotArea type="data" outline="0" fieldPosition="0">
        <references count="2">
          <reference field="4294967294" count="1" selected="0">
            <x v="1"/>
          </reference>
          <reference field="0" count="1" selected="0">
            <x v="2"/>
          </reference>
        </references>
      </pivotArea>
    </chartFormat>
    <chartFormat chart="31" format="0" series="1">
      <pivotArea type="data" outline="0" fieldPosition="0">
        <references count="2">
          <reference field="4294967294" count="1" selected="0">
            <x v="1"/>
          </reference>
          <reference field="0" count="1" selected="0">
            <x v="0"/>
          </reference>
        </references>
      </pivotArea>
    </chartFormat>
    <chartFormat chart="31" format="1" series="1">
      <pivotArea type="data" outline="0" fieldPosition="0">
        <references count="2">
          <reference field="4294967294" count="1" selected="0">
            <x v="1"/>
          </reference>
          <reference field="0" count="1" selected="0">
            <x v="1"/>
          </reference>
        </references>
      </pivotArea>
    </chartFormat>
    <chartFormat chart="31" format="2" series="1">
      <pivotArea type="data" outline="0" fieldPosition="0">
        <references count="2">
          <reference field="4294967294" count="1" selected="0">
            <x v="1"/>
          </reference>
          <reference field="0" count="1" selected="0">
            <x v="2"/>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6CDA8BF-1D42-4AF4-8F8C-E07F24531024}" sourceName="Status">
  <pivotTables>
    <pivotTable tabId="16" name="HC_By Vehicle"/>
    <pivotTable tabId="16" name="HC_By Qualification"/>
    <pivotTable tabId="16" name="HC_ByLocation"/>
    <pivotTable tabId="16" name="HC_ByShift"/>
    <pivotTable tabId="16" name="HC_By Marital"/>
    <pivotTable tabId="16" name="HC_By Dept"/>
  </pivotTables>
  <data>
    <tabular pivotCacheId="4647245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A14CF6-6B7C-4B32-B6B2-5A5DEF3BF59C}" sourceName="Gender">
  <pivotTables>
    <pivotTable tabId="16" name="HC_By Dept"/>
    <pivotTable tabId="16" name="HC_By Marital"/>
    <pivotTable tabId="16" name="HC_By Vehicle"/>
    <pivotTable tabId="16" name="HC_ByLocation"/>
    <pivotTable tabId="16" name="HC_ByShift"/>
    <pivotTable tabId="16" name="HC_By Qualification"/>
  </pivotTables>
  <data>
    <tabular pivotCacheId="4647245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EA1EA0EC-3E87-4272-81E6-3A5FD1AC69F4}" sourceName="Work Location">
  <pivotTables>
    <pivotTable tabId="16" name="HC_By Dept"/>
    <pivotTable tabId="16" name="HC_By Qualification"/>
    <pivotTable tabId="16" name="HC_By Marital"/>
    <pivotTable tabId="16" name="HC_By Vehicle"/>
    <pivotTable tabId="16" name="HC_ByShift"/>
    <pivotTable tabId="16" name="HC_ByLocation"/>
  </pivotTables>
  <data>
    <tabular pivotCacheId="464724518">
      <items count="5">
        <i x="0" s="1"/>
        <i x="1"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3A50957-E701-450B-9B11-514540F6476A}" sourceName="Department">
  <pivotTables>
    <pivotTable tabId="16" name="HC_By Marital"/>
    <pivotTable tabId="16" name="HC_By Dept"/>
    <pivotTable tabId="16" name="HC_By Qualification"/>
    <pivotTable tabId="16" name="HC_By Vehicle"/>
    <pivotTable tabId="16" name="HC_ByLocation"/>
    <pivotTable tabId="16" name="HC_ByShift"/>
  </pivotTables>
  <data>
    <tabular pivotCacheId="464724518">
      <items count="5">
        <i x="1"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roll_Month" xr10:uid="{88061330-5BA0-406E-8CD7-ADE9FD0BE47F}" sourceName="Payroll Month">
  <pivotTables>
    <pivotTable tabId="17" name="NS_By Dept"/>
    <pivotTable tabId="17" name="GS &amp; NS by Month"/>
    <pivotTable tabId="17" name="LOP_By Location"/>
    <pivotTable tabId="17" name="NS_By Location"/>
    <pivotTable tabId="17" name="OT_By Dept"/>
    <pivotTable tabId="17" name="StatsCompare"/>
  </pivotTables>
  <data>
    <tabular pivotCacheId="1105038585">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808F8BA-F9DE-4AF6-8CEE-51297C2781F2}" sourceName="Department">
  <pivotTables>
    <pivotTable tabId="17" name="NS_By Dept"/>
    <pivotTable tabId="17" name="GS &amp; NS by Month"/>
    <pivotTable tabId="17" name="LOP_By Location"/>
    <pivotTable tabId="17" name="NS_By Location"/>
    <pivotTable tabId="17" name="OT_By Dept"/>
    <pivotTable tabId="17" name="StatsCompare"/>
  </pivotTables>
  <data>
    <tabular pivotCacheId="1105038585">
      <items count="5">
        <i x="1" s="1"/>
        <i x="4"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580D38B-102B-4F3A-8D20-C36B4948A9D7}" sourceName="Location">
  <pivotTables>
    <pivotTable tabId="17" name="NS_By Dept"/>
    <pivotTable tabId="17" name="GS &amp; NS by Month"/>
    <pivotTable tabId="17" name="LOP_By Location"/>
    <pivotTable tabId="17" name="NS_By Location"/>
    <pivotTable tabId="17" name="OT_By Dept"/>
    <pivotTable tabId="17" name="StatsCompare"/>
  </pivotTables>
  <data>
    <tabular pivotCacheId="1105038585">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D25C2164-04CA-4E38-9F85-0B53E8CF02AA}" cache="Slicer_Status" caption="Status" rowHeight="241300"/>
  <slicer name="Gender" xr10:uid="{A825C48D-ADED-4A1D-B96C-54DDA8D6672C}" cache="Slicer_Gender" caption="Gender" rowHeight="241300"/>
  <slicer name="Work Location" xr10:uid="{BE54B98D-439A-4D91-A8B3-E7FC1340FB12}" cache="Slicer_Work_Location" caption="Work Location" rowHeight="241300"/>
  <slicer name="Department" xr10:uid="{3F872349-FA6E-430E-91B0-EE39B34D87EE}"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46694A3B-FF19-4992-A33B-7B1FDE80B87D}" cache="Slicer_Status" caption="Status" rowHeight="241300"/>
  <slicer name="Gender 1" xr10:uid="{A108CAFC-CA8E-4B42-856F-1E314FACEF90}" cache="Slicer_Gender" caption="Gender" rowHeight="241300"/>
  <slicer name="Work Location 1" xr10:uid="{CEDD27A7-613C-4B1F-A0D1-1A55350C92E6}" cache="Slicer_Work_Location" caption="Work Location" rowHeight="241300"/>
  <slicer name="Department 1" xr10:uid="{C7DAE96F-2CB3-4FB4-BA71-8DFBBCC0264C}" cache="Slicer_Department"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roll Month" xr10:uid="{140FBB0F-56CA-4510-80C9-A7A804D40F1F}" cache="Slicer_Payroll_Month" caption="Payroll Month" rowHeight="241300"/>
  <slicer name="Department 2" xr10:uid="{4C5958BF-EFC3-4528-9371-ADC52220E97E}" cache="Slicer_Department1" caption="Department" rowHeight="241300"/>
  <slicer name="Location" xr10:uid="{B9EAB091-3FC1-40AD-AEA5-CA6CC76EC233}" cache="Slicer_Location" caption="Locat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roll Month 1" xr10:uid="{E003F4A0-D2C3-4E75-88DD-61B50B4610CC}" cache="Slicer_Payroll_Month" caption="Payroll Month" rowHeight="241300"/>
  <slicer name="Department 3" xr10:uid="{AA7A2408-AE5D-4967-A7C0-54928170C83F}" cache="Slicer_Department1" caption="Department" rowHeight="241300"/>
  <slicer name="Location 1" xr10:uid="{87BFD732-FA6C-45DB-889B-FAE822DECE95}"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1ED061-7DDC-40D8-B89F-4C9F48AECD22}" name="Table1" displayName="Table1" ref="A1:U51" totalsRowShown="0" headerRowDxfId="38">
  <tableColumns count="21">
    <tableColumn id="1" xr3:uid="{B16DCE13-C1E6-40A1-960D-25AC03A22C4A}" name="S. No."/>
    <tableColumn id="2" xr3:uid="{1BFD20F1-93F2-4968-B719-563A4448F886}" name="Employee Id"/>
    <tableColumn id="3" xr3:uid="{07356840-8EC0-47A3-8091-BE71C0A8E64D}" name="First Name"/>
    <tableColumn id="4" xr3:uid="{55BBA31F-B407-424B-A7CB-2740BD677B3D}" name="Last Name"/>
    <tableColumn id="5" xr3:uid="{FE2A4E50-6978-4EF5-8CE1-349F29891FE4}" name="Gender"/>
    <tableColumn id="6" xr3:uid="{E43A8AAC-F1F7-44BE-B544-6A116774F421}" name="Marital Status"/>
    <tableColumn id="7" xr3:uid="{C0923C3A-ADEE-4CC8-9B64-F5F3E864CA02}" name="Age">
      <calculatedColumnFormula>DATEDIF(H2, TODAY(), "Y")</calculatedColumnFormula>
    </tableColumn>
    <tableColumn id="8" xr3:uid="{A351D649-CCE0-4311-8990-B798B850C75B}" name="Date Of Birth" dataDxfId="37"/>
    <tableColumn id="9" xr3:uid="{DC0B95A3-8090-4AE9-B2D0-9550996204FD}" name="Date Of Joining" dataDxfId="36"/>
    <tableColumn id="10" xr3:uid="{BECF3603-B48D-490B-B778-C3D8ECE0DC18}" name="Date of Leaving" dataDxfId="35"/>
    <tableColumn id="11" xr3:uid="{99DFA636-B2BB-4ACB-9808-25C0B42D5514}" name="Designation" dataDxfId="34"/>
    <tableColumn id="12" xr3:uid="{3157539B-9E1E-4F00-8117-261765F292B9}" name="Department"/>
    <tableColumn id="13" xr3:uid="{5699A04F-4910-4E1B-8BA6-47C22FC8F038}" name="Reporting Manager" dataDxfId="33"/>
    <tableColumn id="14" xr3:uid="{F41D6FF4-6141-4250-8346-51C391867683}" name="Work Location"/>
    <tableColumn id="15" xr3:uid="{7AB90A03-2D6A-405B-BDFA-A3A50F6D9FDA}" name="Status"/>
    <tableColumn id="16" xr3:uid="{E3D7D4C9-85D3-4ECA-B333-B73BD1F2394B}" name="Qualification"/>
    <tableColumn id="17" xr3:uid="{5BB0432B-60A9-4DB8-8CC8-B2A79624AC2B}" name="Shift Details"/>
    <tableColumn id="18" xr3:uid="{EF77F6F6-3A89-4E7F-8F39-F6110CD285BD}" name="PAN"/>
    <tableColumn id="19" xr3:uid="{BE91BC27-391C-4256-ABB5-FC2138F2A6E5}" name="Email ID"/>
    <tableColumn id="20" xr3:uid="{924980FC-1C14-4342-9BA2-3E776F3A6657}" name="Phone"/>
    <tableColumn id="21" xr3:uid="{9644740B-DA9D-4EE8-BCAA-67D306B7B866}" name="Column1" dataDxfId="32">
      <calculatedColumnFormula>VLOOKUP($B2,Table2[[Employee Id]:[Annual CTC]],14,0)</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DBD0D5-3E0F-43F6-BA73-9A8655D0206E}" name="Table2" displayName="Table2" ref="A1:O51" totalsRowShown="0" headerRowDxfId="31" dataCellStyle="Normal 2">
  <autoFilter ref="A1:O51" xr:uid="{45DBD0D5-3E0F-43F6-BA73-9A8655D0206E}"/>
  <tableColumns count="15">
    <tableColumn id="1" xr3:uid="{8A7AF0F4-5B88-432B-92D6-EF5E4CC92E0D}" name="S. No." dataCellStyle="Normal 2"/>
    <tableColumn id="2" xr3:uid="{92F5DBDD-4D8F-414A-A611-EF9182D9F4EE}" name="Employee Id" dataCellStyle="Normal 2"/>
    <tableColumn id="3" xr3:uid="{230F98F4-DB5C-483D-A3E2-2C0D5661C5E7}" name="Date Of Joining" dataDxfId="30" dataCellStyle="Normal 2"/>
    <tableColumn id="4" xr3:uid="{834D0764-9184-4E9A-876C-5EB2F849C8EE}" name="Date of Leaving" dataDxfId="29" dataCellStyle="Normal 2"/>
    <tableColumn id="5" xr3:uid="{120A71D2-E952-405E-A794-EE230BBF3803}" name="Status" dataCellStyle="Normal 2"/>
    <tableColumn id="6" xr3:uid="{0AE143A7-8227-46D0-8219-33BFE87D6D18}" name="Designation" dataDxfId="28" dataCellStyle="Normal 2"/>
    <tableColumn id="7" xr3:uid="{E4CA030C-568B-40E7-92CC-EB9B62A03F87}" name="Department" dataCellStyle="Normal 2"/>
    <tableColumn id="8" xr3:uid="{8AA3A2E7-4191-4312-8144-50C1FBDD426E}" name="Basic_x000a_(50% of CTC)" dataDxfId="27" dataCellStyle="Normal 2">
      <calculatedColumnFormula>ROUND(N2/2,0)</calculatedColumnFormula>
    </tableColumn>
    <tableColumn id="9" xr3:uid="{A2E6CE0B-D49B-4BAB-A14F-65000A18B406}" name="HRA_x000a_(40% of Basic)" dataDxfId="26" dataCellStyle="Normal 2">
      <calculatedColumnFormula>ROUND(H2*40%,0)</calculatedColumnFormula>
    </tableColumn>
    <tableColumn id="10" xr3:uid="{0E96FE81-3243-429C-BF3B-A2F0693D4AF0}" name="Special Allowance_x000a_(Adjusting Figure)" dataDxfId="25" dataCellStyle="Normal 2">
      <calculatedColumnFormula>N2-H2-I2-K2-L2-M2</calculatedColumnFormula>
    </tableColumn>
    <tableColumn id="11" xr3:uid="{1DC98CFA-AED8-4ECE-B9A3-B0322A4B2D34}" name="Fuel Allowance_x000a_(Fixed Rs 2000)" dataDxfId="24" dataCellStyle="Normal 2"/>
    <tableColumn id="12" xr3:uid="{04075042-A543-4E47-9CAD-2B01438C81A3}" name="Internet Allowance_x000a_(Fixed Rs 1000)" dataDxfId="23" dataCellStyle="Normal 2"/>
    <tableColumn id="13" xr3:uid="{FC2C7B92-CB34-4BF1-AF76-4DB3E74B52E4}" name="Employer PF_x000a_(Basic *  12%)" dataDxfId="22" dataCellStyle="Normal 2">
      <calculatedColumnFormula>ROUND(H2*12%,0)</calculatedColumnFormula>
    </tableColumn>
    <tableColumn id="14" xr3:uid="{F96F207E-68CC-4E8A-9F5F-2AB5D1A5BD2C}" name="Monthly CTC" dataDxfId="21" dataCellStyle="Normal 2">
      <calculatedColumnFormula>ROUND(O2/12,0)</calculatedColumnFormula>
    </tableColumn>
    <tableColumn id="15" xr3:uid="{8146C5A9-3418-4C8C-B992-06736F97110F}" name="Annual CTC" dataDxfId="20" dataCellStyle="Normal 2"/>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B4101C-529B-4780-95CD-73E90330BB56}" name="Table3" displayName="Table3" ref="A1:G251" totalsRowShown="0" headerRowDxfId="19">
  <autoFilter ref="A1:G251" xr:uid="{BEB4101C-529B-4780-95CD-73E90330BB56}"/>
  <tableColumns count="7">
    <tableColumn id="1" xr3:uid="{1E3B7CF8-9DC7-4DDB-8165-B43353452BFE}" name="Year"/>
    <tableColumn id="2" xr3:uid="{6BBE2632-1C12-4013-BDEA-57D9C779503E}" name="Month"/>
    <tableColumn id="3" xr3:uid="{DD3EDC1D-5067-47F3-BD4C-E76D8696C358}" name="Department"/>
    <tableColumn id="4" xr3:uid="{B7380E14-50AD-47C8-B033-486E48FAB94E}" name="No.of Employees"/>
    <tableColumn id="5" xr3:uid="{95569529-3D67-4A80-997B-8E783E1B1457}" name="New Joiners"/>
    <tableColumn id="6" xr3:uid="{CA9AA9EC-6178-4B01-AE18-044C8F7D8F04}" name="Relievers"/>
    <tableColumn id="7" xr3:uid="{DBC01EAA-3649-4F16-970A-66800B5C7E7C}" name="Head Count"/>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F6C9E9-3F8C-4F3F-8F7D-0DED76F936E8}" name="tblPayroll" displayName="tblPayroll" ref="A1:V117" totalsRowShown="0" headerRowDxfId="18">
  <tableColumns count="22">
    <tableColumn id="1" xr3:uid="{D6426BFC-561B-4DA8-8FD3-A3CB74A2CF60}" name="Payroll Month" dataDxfId="17"/>
    <tableColumn id="2" xr3:uid="{16DF3FEF-C15E-40F4-8A37-163E3F1D7F5C}" name="Employee Id"/>
    <tableColumn id="3" xr3:uid="{E17548E0-BE61-477F-9F4C-EBD8D26D6976}" name="Date Of Joining" dataDxfId="16"/>
    <tableColumn id="4" xr3:uid="{81B59EB5-3A29-4197-A5C7-48B0BB1C1502}" name="Date of Leaving" dataDxfId="15"/>
    <tableColumn id="5" xr3:uid="{12DA7A6F-A30E-42EC-959D-FBE922AE4F04}" name="Designation" dataDxfId="14"/>
    <tableColumn id="6" xr3:uid="{B86D68D5-DC60-4F51-A477-2AA7806B2F7C}" name="Department" dataDxfId="13"/>
    <tableColumn id="22" xr3:uid="{C7AECCAC-149B-4875-8A7F-2C107564DDF2}" name="Location" dataDxfId="12">
      <calculatedColumnFormula>VLOOKUP(tblPayroll[[#This Row],[Employee Id]],Table1[[Employee Id]:[Work Location]],13,0)</calculatedColumnFormula>
    </tableColumn>
    <tableColumn id="7" xr3:uid="{7773C2AD-51E4-4DB3-BB90-72E38F0F66C7}" name="LOP Days"/>
    <tableColumn id="8" xr3:uid="{4A9F2288-81D3-4EC1-887C-AF9D7049A076}" name="Pay Days">
      <calculatedColumnFormula>31-H2</calculatedColumnFormula>
    </tableColumn>
    <tableColumn id="9" xr3:uid="{87B4FF5B-6C14-48C9-B386-F75752F210D8}" name="OT Hours"/>
    <tableColumn id="10" xr3:uid="{BA311DF7-E3BA-4211-8A68-639E99F5486A}" name="Basic" dataDxfId="11">
      <calculatedColumnFormula>ROUND(VLOOKUP($B2,'CTC Breakup'!$B$2:$O$51,7,0)/31*$I2,0)</calculatedColumnFormula>
    </tableColumn>
    <tableColumn id="11" xr3:uid="{C0D2E9B0-B121-426C-B0B2-A18621AC4F1C}" name="HRA" dataDxfId="10">
      <calculatedColumnFormula>ROUND(VLOOKUP($B2,'CTC Breakup'!$B$2:$O$51,8,0)/31*$I2,0)</calculatedColumnFormula>
    </tableColumn>
    <tableColumn id="12" xr3:uid="{1EF9A348-EE23-450E-A141-8A0FF69F8F5A}" name="Special Allowance" dataDxfId="9">
      <calculatedColumnFormula>ROUND(VLOOKUP($B2,'CTC Breakup'!$B$2:$O$51,9,0)/31*$I2,0)</calculatedColumnFormula>
    </tableColumn>
    <tableColumn id="13" xr3:uid="{4D832F4D-3391-4B38-9030-B72B6E81DE69}" name="Fuel Allowance" dataDxfId="8">
      <calculatedColumnFormula>ROUND(VLOOKUP($B2,'CTC Breakup'!$B$2:$O$51,10,0)/31*$I2,0)</calculatedColumnFormula>
    </tableColumn>
    <tableColumn id="14" xr3:uid="{C985CA1E-E81A-42AD-B721-EC59FD3B083B}" name="Internet Allowance" dataDxfId="7">
      <calculatedColumnFormula>ROUND(VLOOKUP($B2,'CTC Breakup'!$B$2:$O$51,11,0)/31*$I2,0)</calculatedColumnFormula>
    </tableColumn>
    <tableColumn id="15" xr3:uid="{4316B84E-4E9B-4E98-B05D-EAABACE612B9}" name="Overtime Pay" dataDxfId="6">
      <calculatedColumnFormula>ROUND(((VLOOKUP($B2,'CTC Breakup'!$B$2:$N$51,13,0)-VLOOKUP($B2,'CTC Breakup'!$B$2:$N$51,12,0))/22/9)*$J2,0)</calculatedColumnFormula>
    </tableColumn>
    <tableColumn id="16" xr3:uid="{FE6FC949-587A-4B2E-8315-10FD44E998D3}" name="Target Incentive" dataDxfId="5"/>
    <tableColumn id="17" xr3:uid="{F72892CF-01DD-4FB9-BC45-5922EC5278D2}" name="Gross Salary" dataDxfId="4">
      <calculatedColumnFormula>SUM(K2:Q2)</calculatedColumnFormula>
    </tableColumn>
    <tableColumn id="18" xr3:uid="{B34BE0B1-C2CF-4017-98EC-670C3E947BA3}" name="Employee PF" dataDxfId="3">
      <calculatedColumnFormula>ROUND(K2*12%,0)</calculatedColumnFormula>
    </tableColumn>
    <tableColumn id="19" xr3:uid="{1A51C7B9-8F19-40DF-BEB8-3849E8979C4E}" name="Income Tax" dataDxfId="2">
      <calculatedColumnFormula>ROUND(IF(R2&gt;100000,R2*30%,IF(R2&gt;75000,R2*20%,IF(R2&gt;50000,R2*10%,0))),0)</calculatedColumnFormula>
    </tableColumn>
    <tableColumn id="20" xr3:uid="{6FC6C1E7-FC0F-4A36-83E4-18397018802B}" name="Loan Deduction" dataDxfId="1"/>
    <tableColumn id="21" xr3:uid="{83C61D95-92C9-4BED-8242-8AAE88BEFC67}" name="Net Salary" dataDxfId="0">
      <calculatedColumnFormula>R2-S2-T2-U2</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1E9373B6-4DDD-4152-83CB-D337BC806BE4}" sourceName="Date Of Joining">
  <pivotTables>
    <pivotTable tabId="16" name="HC_By Marital"/>
    <pivotTable tabId="16" name="HC_By Dept"/>
    <pivotTable tabId="16" name="HC_By Qualification"/>
    <pivotTable tabId="16" name="HC_By Vehicle"/>
    <pivotTable tabId="16" name="HC_ByLocation"/>
    <pivotTable tabId="16" name="HC_ByShift"/>
  </pivotTables>
  <state minimalRefreshVersion="6" lastRefreshVersion="6" pivotCacheId="464724518"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AD57435F-81B3-4642-B789-C28C29E255F3}" cache="NativeTimeline_Date_Of_Joining" caption="Date Of Joining"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1" xr10:uid="{9C3B6E8A-1195-4CB6-AAB3-13F848D863B8}" cache="NativeTimeline_Date_Of_Joining" caption="Date Of Joining"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9.xml"/><Relationship Id="rId7"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17CC-842B-4799-A00F-A7C2540051ED}">
  <dimension ref="A1:W63"/>
  <sheetViews>
    <sheetView tabSelected="1" zoomScaleNormal="100"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8.7109375" bestFit="1" customWidth="1"/>
    <col min="2" max="2" width="15.28515625" bestFit="1" customWidth="1"/>
    <col min="3" max="4" width="13.5703125" bestFit="1" customWidth="1"/>
    <col min="5" max="5" width="10.140625" bestFit="1" customWidth="1"/>
    <col min="6" max="6" width="17.42578125" bestFit="1" customWidth="1"/>
    <col min="7" max="7" width="11.28515625" customWidth="1"/>
    <col min="8" max="8" width="16.42578125" bestFit="1" customWidth="1"/>
    <col min="9" max="9" width="19.28515625" style="1" bestFit="1" customWidth="1"/>
    <col min="10" max="10" width="19.7109375" bestFit="1" customWidth="1"/>
    <col min="11" max="13" width="20.85546875" customWidth="1"/>
    <col min="14" max="14" width="18.140625" bestFit="1" customWidth="1"/>
    <col min="15" max="15" width="9.5703125" bestFit="1" customWidth="1"/>
    <col min="16" max="16" width="16.7109375" bestFit="1" customWidth="1"/>
    <col min="17" max="17" width="15.42578125" customWidth="1"/>
    <col min="18" max="18" width="15.28515625" bestFit="1" customWidth="1"/>
    <col min="19" max="19" width="26.85546875" bestFit="1" customWidth="1"/>
    <col min="20" max="20" width="13.140625" bestFit="1" customWidth="1"/>
    <col min="22" max="22" width="25" customWidth="1"/>
    <col min="23" max="23" width="25" style="4" customWidth="1"/>
    <col min="24" max="24" width="5.5703125" bestFit="1" customWidth="1"/>
    <col min="25" max="25" width="11.28515625" bestFit="1" customWidth="1"/>
  </cols>
  <sheetData>
    <row r="1" spans="1:23" x14ac:dyDescent="0.25">
      <c r="A1" s="4" t="s">
        <v>0</v>
      </c>
      <c r="B1" s="4" t="s">
        <v>1</v>
      </c>
      <c r="C1" s="4" t="s">
        <v>2</v>
      </c>
      <c r="D1" s="4" t="s">
        <v>3</v>
      </c>
      <c r="E1" s="4" t="s">
        <v>4</v>
      </c>
      <c r="F1" s="4" t="s">
        <v>5</v>
      </c>
      <c r="G1" s="4" t="s">
        <v>364</v>
      </c>
      <c r="H1" s="4" t="s">
        <v>6</v>
      </c>
      <c r="I1" s="5" t="s">
        <v>7</v>
      </c>
      <c r="J1" s="4" t="s">
        <v>8</v>
      </c>
      <c r="K1" s="4" t="s">
        <v>10</v>
      </c>
      <c r="L1" s="4" t="s">
        <v>11</v>
      </c>
      <c r="M1" s="4" t="s">
        <v>9</v>
      </c>
      <c r="N1" s="4" t="s">
        <v>12</v>
      </c>
      <c r="O1" s="4" t="s">
        <v>13</v>
      </c>
      <c r="P1" s="4" t="s">
        <v>422</v>
      </c>
      <c r="Q1" s="4" t="s">
        <v>14</v>
      </c>
      <c r="R1" s="4" t="s">
        <v>15</v>
      </c>
      <c r="S1" s="4" t="s">
        <v>16</v>
      </c>
      <c r="T1" s="4" t="s">
        <v>17</v>
      </c>
      <c r="U1" s="4" t="s">
        <v>421</v>
      </c>
    </row>
    <row r="2" spans="1:23" x14ac:dyDescent="0.25">
      <c r="A2">
        <v>1</v>
      </c>
      <c r="B2" t="s">
        <v>18</v>
      </c>
      <c r="C2" t="s">
        <v>246</v>
      </c>
      <c r="D2" t="s">
        <v>147</v>
      </c>
      <c r="E2" t="s">
        <v>19</v>
      </c>
      <c r="F2" t="s">
        <v>20</v>
      </c>
      <c r="G2">
        <f ca="1">DATEDIF(H2, TODAY(), "Y")</f>
        <v>48</v>
      </c>
      <c r="H2" s="1">
        <v>28678</v>
      </c>
      <c r="I2" s="1">
        <v>44593</v>
      </c>
      <c r="J2" s="1"/>
      <c r="K2" s="1" t="s">
        <v>356</v>
      </c>
      <c r="L2" t="s">
        <v>398</v>
      </c>
      <c r="M2" s="3" t="s">
        <v>379</v>
      </c>
      <c r="N2" t="s">
        <v>21</v>
      </c>
      <c r="O2" t="s">
        <v>22</v>
      </c>
      <c r="P2" t="s">
        <v>424</v>
      </c>
      <c r="Q2" t="s">
        <v>383</v>
      </c>
      <c r="R2" t="s">
        <v>23</v>
      </c>
      <c r="S2" t="s">
        <v>247</v>
      </c>
      <c r="T2" t="s">
        <v>297</v>
      </c>
      <c r="U2">
        <f>VLOOKUP($B2,Table2[[Employee Id]:[Annual CTC]],14,0)</f>
        <v>1850000</v>
      </c>
    </row>
    <row r="3" spans="1:23" x14ac:dyDescent="0.25">
      <c r="A3">
        <v>2</v>
      </c>
      <c r="B3" t="s">
        <v>24</v>
      </c>
      <c r="C3" t="s">
        <v>148</v>
      </c>
      <c r="D3" t="s">
        <v>149</v>
      </c>
      <c r="E3" t="s">
        <v>31</v>
      </c>
      <c r="F3" t="s">
        <v>25</v>
      </c>
      <c r="G3">
        <f t="shared" ref="G3:G51" ca="1" si="0">DATEDIF(H3, TODAY(), "Y")</f>
        <v>46</v>
      </c>
      <c r="H3" s="1">
        <v>29166</v>
      </c>
      <c r="I3" s="1">
        <v>44613</v>
      </c>
      <c r="J3" s="1"/>
      <c r="K3" s="1" t="s">
        <v>355</v>
      </c>
      <c r="L3" t="s">
        <v>354</v>
      </c>
      <c r="M3" s="3" t="s">
        <v>379</v>
      </c>
      <c r="N3" t="s">
        <v>32</v>
      </c>
      <c r="O3" t="s">
        <v>22</v>
      </c>
      <c r="P3" t="s">
        <v>424</v>
      </c>
      <c r="Q3" t="s">
        <v>383</v>
      </c>
      <c r="R3" t="s">
        <v>33</v>
      </c>
      <c r="S3" t="s">
        <v>248</v>
      </c>
      <c r="T3" t="s">
        <v>298</v>
      </c>
      <c r="U3">
        <f>VLOOKUP($B3,Table2[[Employee Id]:[Annual CTC]],14,0)</f>
        <v>2500000</v>
      </c>
      <c r="V3" s="4" t="s">
        <v>406</v>
      </c>
      <c r="W3" s="4">
        <f>COUNTA(Table1[Employee Id])</f>
        <v>50</v>
      </c>
    </row>
    <row r="4" spans="1:23" x14ac:dyDescent="0.25">
      <c r="A4">
        <v>3</v>
      </c>
      <c r="B4" t="s">
        <v>28</v>
      </c>
      <c r="C4" t="s">
        <v>150</v>
      </c>
      <c r="D4" t="s">
        <v>151</v>
      </c>
      <c r="E4" t="s">
        <v>19</v>
      </c>
      <c r="F4" t="s">
        <v>20</v>
      </c>
      <c r="G4">
        <f t="shared" ca="1" si="0"/>
        <v>44</v>
      </c>
      <c r="H4" s="1">
        <v>29999</v>
      </c>
      <c r="I4" s="1">
        <v>44634</v>
      </c>
      <c r="J4" s="1"/>
      <c r="K4" s="1" t="s">
        <v>356</v>
      </c>
      <c r="L4" t="s">
        <v>398</v>
      </c>
      <c r="M4" s="3" t="s">
        <v>379</v>
      </c>
      <c r="N4" t="s">
        <v>21</v>
      </c>
      <c r="O4" t="s">
        <v>22</v>
      </c>
      <c r="P4" t="s">
        <v>424</v>
      </c>
      <c r="Q4" t="s">
        <v>383</v>
      </c>
      <c r="R4" t="s">
        <v>39</v>
      </c>
      <c r="S4" t="s">
        <v>249</v>
      </c>
      <c r="T4" t="s">
        <v>299</v>
      </c>
      <c r="U4">
        <f>VLOOKUP($B4,Table2[[Employee Id]:[Annual CTC]],14,0)</f>
        <v>1750000</v>
      </c>
    </row>
    <row r="5" spans="1:23" x14ac:dyDescent="0.25">
      <c r="A5">
        <v>4</v>
      </c>
      <c r="B5" t="s">
        <v>30</v>
      </c>
      <c r="C5" t="s">
        <v>152</v>
      </c>
      <c r="D5" t="s">
        <v>153</v>
      </c>
      <c r="E5" t="s">
        <v>31</v>
      </c>
      <c r="F5" t="s">
        <v>20</v>
      </c>
      <c r="G5">
        <f t="shared" ca="1" si="0"/>
        <v>35</v>
      </c>
      <c r="H5" s="1">
        <v>33365</v>
      </c>
      <c r="I5" s="1">
        <v>44676</v>
      </c>
      <c r="J5" s="1">
        <v>45886</v>
      </c>
      <c r="K5" s="1" t="s">
        <v>362</v>
      </c>
      <c r="L5" t="s">
        <v>354</v>
      </c>
      <c r="M5" s="3" t="s">
        <v>24</v>
      </c>
      <c r="N5" t="s">
        <v>26</v>
      </c>
      <c r="O5" t="s">
        <v>27</v>
      </c>
      <c r="P5" t="s">
        <v>424</v>
      </c>
      <c r="Q5" t="s">
        <v>385</v>
      </c>
      <c r="R5" t="s">
        <v>41</v>
      </c>
      <c r="S5" t="s">
        <v>250</v>
      </c>
      <c r="T5" t="s">
        <v>300</v>
      </c>
      <c r="U5">
        <f>VLOOKUP($B5,Table2[[Employee Id]:[Annual CTC]],14,0)</f>
        <v>1350000</v>
      </c>
      <c r="V5" s="4" t="s">
        <v>407</v>
      </c>
      <c r="W5" s="4">
        <f>COUNTIF(Table1[Status],"Active")</f>
        <v>38</v>
      </c>
    </row>
    <row r="6" spans="1:23" x14ac:dyDescent="0.25">
      <c r="A6">
        <v>5</v>
      </c>
      <c r="B6" t="s">
        <v>34</v>
      </c>
      <c r="C6" t="s">
        <v>154</v>
      </c>
      <c r="D6" t="s">
        <v>155</v>
      </c>
      <c r="E6" t="s">
        <v>19</v>
      </c>
      <c r="F6" t="s">
        <v>25</v>
      </c>
      <c r="G6">
        <f t="shared" ca="1" si="0"/>
        <v>34</v>
      </c>
      <c r="H6" s="1">
        <v>33723</v>
      </c>
      <c r="I6" s="1">
        <v>44697</v>
      </c>
      <c r="J6" s="1"/>
      <c r="K6" s="1" t="s">
        <v>360</v>
      </c>
      <c r="L6" t="s">
        <v>363</v>
      </c>
      <c r="M6" s="3" t="s">
        <v>379</v>
      </c>
      <c r="N6" t="s">
        <v>32</v>
      </c>
      <c r="O6" t="s">
        <v>22</v>
      </c>
      <c r="P6" t="s">
        <v>424</v>
      </c>
      <c r="Q6" t="s">
        <v>383</v>
      </c>
      <c r="R6" t="s">
        <v>44</v>
      </c>
      <c r="S6" t="s">
        <v>251</v>
      </c>
      <c r="T6" t="s">
        <v>301</v>
      </c>
      <c r="U6">
        <f>VLOOKUP($B6,Table2[[Employee Id]:[Annual CTC]],14,0)</f>
        <v>1700000</v>
      </c>
    </row>
    <row r="7" spans="1:23" x14ac:dyDescent="0.25">
      <c r="A7">
        <v>6</v>
      </c>
      <c r="B7" t="s">
        <v>35</v>
      </c>
      <c r="C7" t="s">
        <v>156</v>
      </c>
      <c r="D7" t="s">
        <v>157</v>
      </c>
      <c r="E7" t="s">
        <v>19</v>
      </c>
      <c r="F7" t="s">
        <v>20</v>
      </c>
      <c r="G7">
        <f t="shared" ca="1" si="0"/>
        <v>33</v>
      </c>
      <c r="H7" s="1">
        <v>34064</v>
      </c>
      <c r="I7" s="1">
        <v>44704</v>
      </c>
      <c r="J7" s="1"/>
      <c r="K7" s="1" t="s">
        <v>369</v>
      </c>
      <c r="L7" t="s">
        <v>363</v>
      </c>
      <c r="M7" s="3" t="s">
        <v>34</v>
      </c>
      <c r="N7" t="s">
        <v>26</v>
      </c>
      <c r="O7" t="s">
        <v>22</v>
      </c>
      <c r="P7" t="s">
        <v>424</v>
      </c>
      <c r="Q7" t="s">
        <v>384</v>
      </c>
      <c r="R7" t="s">
        <v>47</v>
      </c>
      <c r="S7" t="s">
        <v>252</v>
      </c>
      <c r="T7" t="s">
        <v>302</v>
      </c>
      <c r="U7">
        <f>VLOOKUP($B7,Table2[[Employee Id]:[Annual CTC]],14,0)</f>
        <v>1000000</v>
      </c>
      <c r="V7" s="4" t="s">
        <v>408</v>
      </c>
      <c r="W7" s="4">
        <f>COUNTA(_xlfn.UNIQUE(Table1[Department]))</f>
        <v>5</v>
      </c>
    </row>
    <row r="8" spans="1:23" x14ac:dyDescent="0.25">
      <c r="A8">
        <v>7</v>
      </c>
      <c r="B8" t="s">
        <v>36</v>
      </c>
      <c r="C8" t="s">
        <v>158</v>
      </c>
      <c r="D8" t="s">
        <v>159</v>
      </c>
      <c r="E8" t="s">
        <v>19</v>
      </c>
      <c r="F8" t="s">
        <v>20</v>
      </c>
      <c r="G8">
        <f t="shared" ca="1" si="0"/>
        <v>32</v>
      </c>
      <c r="H8" s="1">
        <v>34296</v>
      </c>
      <c r="I8" s="1">
        <v>44802</v>
      </c>
      <c r="J8" s="1">
        <v>45951</v>
      </c>
      <c r="K8" s="1" t="s">
        <v>369</v>
      </c>
      <c r="L8" t="s">
        <v>363</v>
      </c>
      <c r="M8" s="3" t="s">
        <v>34</v>
      </c>
      <c r="N8" t="s">
        <v>32</v>
      </c>
      <c r="O8" t="s">
        <v>27</v>
      </c>
      <c r="P8" t="s">
        <v>423</v>
      </c>
      <c r="Q8" t="s">
        <v>385</v>
      </c>
      <c r="R8" t="s">
        <v>54</v>
      </c>
      <c r="S8" t="s">
        <v>253</v>
      </c>
      <c r="T8" t="s">
        <v>303</v>
      </c>
      <c r="U8">
        <f>VLOOKUP($B8,Table2[[Employee Id]:[Annual CTC]],14,0)</f>
        <v>950000</v>
      </c>
    </row>
    <row r="9" spans="1:23" x14ac:dyDescent="0.25">
      <c r="A9">
        <v>8</v>
      </c>
      <c r="B9" t="s">
        <v>37</v>
      </c>
      <c r="C9" t="s">
        <v>160</v>
      </c>
      <c r="D9" t="s">
        <v>161</v>
      </c>
      <c r="E9" t="s">
        <v>19</v>
      </c>
      <c r="F9" t="s">
        <v>20</v>
      </c>
      <c r="G9">
        <f t="shared" ca="1" si="0"/>
        <v>33</v>
      </c>
      <c r="H9" s="1">
        <v>34123</v>
      </c>
      <c r="I9" s="1">
        <v>44886</v>
      </c>
      <c r="J9" s="1"/>
      <c r="K9" s="1" t="s">
        <v>361</v>
      </c>
      <c r="L9" t="s">
        <v>353</v>
      </c>
      <c r="M9" s="3" t="s">
        <v>379</v>
      </c>
      <c r="N9" t="s">
        <v>405</v>
      </c>
      <c r="O9" t="s">
        <v>22</v>
      </c>
      <c r="P9" t="s">
        <v>424</v>
      </c>
      <c r="Q9" t="s">
        <v>383</v>
      </c>
      <c r="R9" t="s">
        <v>57</v>
      </c>
      <c r="S9" t="s">
        <v>254</v>
      </c>
      <c r="T9" t="s">
        <v>304</v>
      </c>
      <c r="U9">
        <f>VLOOKUP($B9,Table2[[Employee Id]:[Annual CTC]],14,0)</f>
        <v>2100000</v>
      </c>
      <c r="V9" s="4" t="s">
        <v>409</v>
      </c>
      <c r="W9" s="4">
        <f>COUNTA(_xlfn.UNIQUE(Table1[Work Location]))</f>
        <v>5</v>
      </c>
    </row>
    <row r="10" spans="1:23" x14ac:dyDescent="0.25">
      <c r="A10">
        <v>9</v>
      </c>
      <c r="B10" t="s">
        <v>38</v>
      </c>
      <c r="C10" t="s">
        <v>162</v>
      </c>
      <c r="D10" t="s">
        <v>163</v>
      </c>
      <c r="E10" t="s">
        <v>19</v>
      </c>
      <c r="F10" t="s">
        <v>25</v>
      </c>
      <c r="G10">
        <f t="shared" ca="1" si="0"/>
        <v>32</v>
      </c>
      <c r="H10" s="1">
        <v>34429</v>
      </c>
      <c r="I10" s="1">
        <v>44893</v>
      </c>
      <c r="J10" s="1"/>
      <c r="K10" s="1" t="s">
        <v>373</v>
      </c>
      <c r="L10" t="s">
        <v>353</v>
      </c>
      <c r="M10" s="3" t="s">
        <v>37</v>
      </c>
      <c r="N10" t="s">
        <v>29</v>
      </c>
      <c r="O10" t="s">
        <v>22</v>
      </c>
      <c r="P10" t="s">
        <v>424</v>
      </c>
      <c r="Q10" t="s">
        <v>383</v>
      </c>
      <c r="R10" t="s">
        <v>63</v>
      </c>
      <c r="S10" t="s">
        <v>255</v>
      </c>
      <c r="T10" t="s">
        <v>305</v>
      </c>
      <c r="U10">
        <f>VLOOKUP($B10,Table2[[Employee Id]:[Annual CTC]],14,0)</f>
        <v>1800000</v>
      </c>
    </row>
    <row r="11" spans="1:23" x14ac:dyDescent="0.25">
      <c r="A11">
        <v>10</v>
      </c>
      <c r="B11" t="s">
        <v>40</v>
      </c>
      <c r="C11" t="s">
        <v>164</v>
      </c>
      <c r="D11" t="s">
        <v>165</v>
      </c>
      <c r="E11" t="s">
        <v>19</v>
      </c>
      <c r="F11" t="s">
        <v>20</v>
      </c>
      <c r="G11">
        <f t="shared" ca="1" si="0"/>
        <v>32</v>
      </c>
      <c r="H11" s="1">
        <v>34309</v>
      </c>
      <c r="I11" s="1">
        <v>44907</v>
      </c>
      <c r="J11" s="1"/>
      <c r="K11" s="1" t="s">
        <v>358</v>
      </c>
      <c r="L11" t="s">
        <v>397</v>
      </c>
      <c r="M11" s="3" t="s">
        <v>379</v>
      </c>
      <c r="N11" t="s">
        <v>26</v>
      </c>
      <c r="O11" t="s">
        <v>22</v>
      </c>
      <c r="P11" t="s">
        <v>424</v>
      </c>
      <c r="Q11" t="s">
        <v>383</v>
      </c>
      <c r="R11" t="s">
        <v>67</v>
      </c>
      <c r="S11" t="s">
        <v>256</v>
      </c>
      <c r="T11" t="s">
        <v>306</v>
      </c>
      <c r="U11">
        <f>VLOOKUP($B11,Table2[[Employee Id]:[Annual CTC]],14,0)</f>
        <v>1750000</v>
      </c>
    </row>
    <row r="12" spans="1:23" x14ac:dyDescent="0.25">
      <c r="A12">
        <v>11</v>
      </c>
      <c r="B12" t="s">
        <v>42</v>
      </c>
      <c r="C12" t="s">
        <v>166</v>
      </c>
      <c r="D12" t="s">
        <v>167</v>
      </c>
      <c r="E12" t="s">
        <v>31</v>
      </c>
      <c r="F12" t="s">
        <v>20</v>
      </c>
      <c r="G12">
        <f t="shared" ca="1" si="0"/>
        <v>31</v>
      </c>
      <c r="H12" s="1">
        <v>34753</v>
      </c>
      <c r="I12" s="1">
        <v>44935</v>
      </c>
      <c r="J12" s="1">
        <v>45979</v>
      </c>
      <c r="K12" s="1" t="s">
        <v>373</v>
      </c>
      <c r="L12" t="s">
        <v>353</v>
      </c>
      <c r="M12" s="3" t="s">
        <v>37</v>
      </c>
      <c r="N12" t="s">
        <v>29</v>
      </c>
      <c r="O12" t="s">
        <v>27</v>
      </c>
      <c r="P12" t="s">
        <v>424</v>
      </c>
      <c r="Q12" t="s">
        <v>383</v>
      </c>
      <c r="R12" t="s">
        <v>73</v>
      </c>
      <c r="S12" t="s">
        <v>257</v>
      </c>
      <c r="T12" t="s">
        <v>307</v>
      </c>
      <c r="U12">
        <f>VLOOKUP($B12,Table2[[Employee Id]:[Annual CTC]],14,0)</f>
        <v>1800000</v>
      </c>
    </row>
    <row r="13" spans="1:23" x14ac:dyDescent="0.25">
      <c r="A13">
        <v>12</v>
      </c>
      <c r="B13" t="s">
        <v>43</v>
      </c>
      <c r="C13" t="s">
        <v>168</v>
      </c>
      <c r="D13" t="s">
        <v>169</v>
      </c>
      <c r="E13" t="s">
        <v>19</v>
      </c>
      <c r="F13" t="s">
        <v>20</v>
      </c>
      <c r="G13">
        <f t="shared" ca="1" si="0"/>
        <v>30</v>
      </c>
      <c r="H13" s="1">
        <v>35180</v>
      </c>
      <c r="I13" s="1">
        <v>44956</v>
      </c>
      <c r="J13" s="1"/>
      <c r="K13" s="1" t="s">
        <v>382</v>
      </c>
      <c r="L13" t="s">
        <v>353</v>
      </c>
      <c r="M13" s="3" t="s">
        <v>38</v>
      </c>
      <c r="N13" t="s">
        <v>32</v>
      </c>
      <c r="O13" t="s">
        <v>22</v>
      </c>
      <c r="P13" t="s">
        <v>424</v>
      </c>
      <c r="Q13" t="s">
        <v>383</v>
      </c>
      <c r="R13" t="s">
        <v>75</v>
      </c>
      <c r="S13" t="s">
        <v>258</v>
      </c>
      <c r="T13" t="s">
        <v>308</v>
      </c>
      <c r="U13">
        <f>VLOOKUP($B13,Table2[[Employee Id]:[Annual CTC]],14,0)</f>
        <v>1150000</v>
      </c>
    </row>
    <row r="14" spans="1:23" x14ac:dyDescent="0.25">
      <c r="A14">
        <v>13</v>
      </c>
      <c r="B14" t="s">
        <v>45</v>
      </c>
      <c r="C14" t="s">
        <v>170</v>
      </c>
      <c r="D14" t="s">
        <v>171</v>
      </c>
      <c r="E14" t="s">
        <v>19</v>
      </c>
      <c r="F14" t="s">
        <v>20</v>
      </c>
      <c r="G14">
        <f t="shared" ca="1" si="0"/>
        <v>31</v>
      </c>
      <c r="H14" s="1">
        <v>34869</v>
      </c>
      <c r="I14" s="1">
        <v>44963</v>
      </c>
      <c r="J14" s="1"/>
      <c r="K14" s="1" t="s">
        <v>357</v>
      </c>
      <c r="L14" t="s">
        <v>354</v>
      </c>
      <c r="M14" s="3" t="s">
        <v>24</v>
      </c>
      <c r="N14" t="s">
        <v>21</v>
      </c>
      <c r="O14" t="s">
        <v>22</v>
      </c>
      <c r="P14" t="s">
        <v>424</v>
      </c>
      <c r="Q14" t="s">
        <v>383</v>
      </c>
      <c r="R14" t="s">
        <v>77</v>
      </c>
      <c r="S14" t="s">
        <v>259</v>
      </c>
      <c r="T14" t="s">
        <v>309</v>
      </c>
      <c r="U14">
        <f>VLOOKUP($B14,Table2[[Employee Id]:[Annual CTC]],14,0)</f>
        <v>1550000</v>
      </c>
    </row>
    <row r="15" spans="1:23" x14ac:dyDescent="0.25">
      <c r="A15">
        <v>14</v>
      </c>
      <c r="B15" t="s">
        <v>46</v>
      </c>
      <c r="C15" t="s">
        <v>172</v>
      </c>
      <c r="D15" t="s">
        <v>173</v>
      </c>
      <c r="E15" t="s">
        <v>31</v>
      </c>
      <c r="F15" t="s">
        <v>20</v>
      </c>
      <c r="G15">
        <f t="shared" ca="1" si="0"/>
        <v>30</v>
      </c>
      <c r="H15" s="1">
        <v>35228</v>
      </c>
      <c r="I15" s="1">
        <v>45005</v>
      </c>
      <c r="J15" s="1">
        <v>45919</v>
      </c>
      <c r="K15" s="1" t="s">
        <v>370</v>
      </c>
      <c r="L15" t="s">
        <v>363</v>
      </c>
      <c r="M15" s="3" t="s">
        <v>35</v>
      </c>
      <c r="N15" t="s">
        <v>405</v>
      </c>
      <c r="O15" t="s">
        <v>27</v>
      </c>
      <c r="P15" t="s">
        <v>423</v>
      </c>
      <c r="Q15" t="s">
        <v>384</v>
      </c>
      <c r="R15" t="s">
        <v>79</v>
      </c>
      <c r="S15" t="s">
        <v>260</v>
      </c>
      <c r="T15" t="s">
        <v>310</v>
      </c>
      <c r="U15">
        <f>VLOOKUP($B15,Table2[[Employee Id]:[Annual CTC]],14,0)</f>
        <v>650000</v>
      </c>
    </row>
    <row r="16" spans="1:23" x14ac:dyDescent="0.25">
      <c r="A16">
        <v>15</v>
      </c>
      <c r="B16" t="s">
        <v>48</v>
      </c>
      <c r="C16" t="s">
        <v>174</v>
      </c>
      <c r="D16" t="s">
        <v>175</v>
      </c>
      <c r="E16" t="s">
        <v>19</v>
      </c>
      <c r="F16" t="s">
        <v>20</v>
      </c>
      <c r="G16">
        <f t="shared" ca="1" si="0"/>
        <v>29</v>
      </c>
      <c r="H16" s="1">
        <v>35553</v>
      </c>
      <c r="I16" s="1">
        <v>45033</v>
      </c>
      <c r="J16" s="1"/>
      <c r="K16" s="1" t="s">
        <v>357</v>
      </c>
      <c r="L16" t="s">
        <v>354</v>
      </c>
      <c r="M16" s="3" t="s">
        <v>24</v>
      </c>
      <c r="N16" t="s">
        <v>29</v>
      </c>
      <c r="O16" t="s">
        <v>22</v>
      </c>
      <c r="P16" t="s">
        <v>424</v>
      </c>
      <c r="Q16" t="s">
        <v>384</v>
      </c>
      <c r="R16" t="s">
        <v>81</v>
      </c>
      <c r="S16" t="s">
        <v>261</v>
      </c>
      <c r="T16" t="s">
        <v>311</v>
      </c>
      <c r="U16">
        <f>VLOOKUP($B16,Table2[[Employee Id]:[Annual CTC]],14,0)</f>
        <v>1475000</v>
      </c>
    </row>
    <row r="17" spans="1:21" x14ac:dyDescent="0.25">
      <c r="A17">
        <v>16</v>
      </c>
      <c r="B17" t="s">
        <v>49</v>
      </c>
      <c r="C17" t="s">
        <v>176</v>
      </c>
      <c r="D17" t="s">
        <v>177</v>
      </c>
      <c r="E17" t="s">
        <v>19</v>
      </c>
      <c r="F17" t="s">
        <v>20</v>
      </c>
      <c r="G17">
        <f t="shared" ca="1" si="0"/>
        <v>28</v>
      </c>
      <c r="H17" s="1">
        <v>35855</v>
      </c>
      <c r="I17" s="1">
        <v>45040</v>
      </c>
      <c r="J17" s="1"/>
      <c r="K17" s="1" t="s">
        <v>357</v>
      </c>
      <c r="L17" t="s">
        <v>354</v>
      </c>
      <c r="M17" s="3" t="s">
        <v>24</v>
      </c>
      <c r="N17" t="s">
        <v>21</v>
      </c>
      <c r="O17" t="s">
        <v>22</v>
      </c>
      <c r="P17" t="s">
        <v>424</v>
      </c>
      <c r="Q17" t="s">
        <v>385</v>
      </c>
      <c r="R17" t="s">
        <v>84</v>
      </c>
      <c r="S17" t="s">
        <v>262</v>
      </c>
      <c r="T17" t="s">
        <v>312</v>
      </c>
      <c r="U17">
        <f>VLOOKUP($B17,Table2[[Employee Id]:[Annual CTC]],14,0)</f>
        <v>1875000</v>
      </c>
    </row>
    <row r="18" spans="1:21" x14ac:dyDescent="0.25">
      <c r="A18">
        <v>17</v>
      </c>
      <c r="B18" t="s">
        <v>50</v>
      </c>
      <c r="C18" t="s">
        <v>178</v>
      </c>
      <c r="D18" t="s">
        <v>179</v>
      </c>
      <c r="E18" t="s">
        <v>19</v>
      </c>
      <c r="F18" t="s">
        <v>20</v>
      </c>
      <c r="G18">
        <f t="shared" ca="1" si="0"/>
        <v>29</v>
      </c>
      <c r="H18" s="1">
        <v>35631</v>
      </c>
      <c r="I18" s="1">
        <v>45048</v>
      </c>
      <c r="J18" s="1">
        <v>46055</v>
      </c>
      <c r="K18" s="1" t="s">
        <v>380</v>
      </c>
      <c r="L18" t="s">
        <v>397</v>
      </c>
      <c r="M18" s="3" t="s">
        <v>40</v>
      </c>
      <c r="N18" t="s">
        <v>32</v>
      </c>
      <c r="O18" t="s">
        <v>27</v>
      </c>
      <c r="P18" t="s">
        <v>424</v>
      </c>
      <c r="Q18" t="s">
        <v>384</v>
      </c>
      <c r="R18" t="s">
        <v>88</v>
      </c>
      <c r="S18" t="s">
        <v>263</v>
      </c>
      <c r="T18" t="s">
        <v>313</v>
      </c>
      <c r="U18">
        <f>VLOOKUP($B18,Table2[[Employee Id]:[Annual CTC]],14,0)</f>
        <v>1150000</v>
      </c>
    </row>
    <row r="19" spans="1:21" x14ac:dyDescent="0.25">
      <c r="A19">
        <v>18</v>
      </c>
      <c r="B19" t="s">
        <v>51</v>
      </c>
      <c r="C19" t="s">
        <v>180</v>
      </c>
      <c r="D19" t="s">
        <v>181</v>
      </c>
      <c r="E19" t="s">
        <v>19</v>
      </c>
      <c r="F19" t="s">
        <v>20</v>
      </c>
      <c r="G19">
        <f t="shared" ca="1" si="0"/>
        <v>28</v>
      </c>
      <c r="H19" s="1">
        <v>35818</v>
      </c>
      <c r="I19" s="1">
        <v>45075</v>
      </c>
      <c r="J19" s="1"/>
      <c r="K19" s="1" t="s">
        <v>380</v>
      </c>
      <c r="L19" t="s">
        <v>397</v>
      </c>
      <c r="M19" s="3" t="s">
        <v>40</v>
      </c>
      <c r="N19" t="s">
        <v>21</v>
      </c>
      <c r="O19" t="s">
        <v>22</v>
      </c>
      <c r="P19" t="s">
        <v>424</v>
      </c>
      <c r="Q19" t="s">
        <v>383</v>
      </c>
      <c r="R19" t="s">
        <v>90</v>
      </c>
      <c r="S19" t="s">
        <v>264</v>
      </c>
      <c r="T19" t="s">
        <v>314</v>
      </c>
      <c r="U19">
        <f>VLOOKUP($B19,Table2[[Employee Id]:[Annual CTC]],14,0)</f>
        <v>1125000</v>
      </c>
    </row>
    <row r="20" spans="1:21" x14ac:dyDescent="0.25">
      <c r="A20">
        <v>19</v>
      </c>
      <c r="B20" t="s">
        <v>52</v>
      </c>
      <c r="C20" t="s">
        <v>182</v>
      </c>
      <c r="D20" t="s">
        <v>183</v>
      </c>
      <c r="E20" t="s">
        <v>31</v>
      </c>
      <c r="F20" t="s">
        <v>20</v>
      </c>
      <c r="G20">
        <f t="shared" ca="1" si="0"/>
        <v>28</v>
      </c>
      <c r="H20" s="1">
        <v>35785</v>
      </c>
      <c r="I20" s="1">
        <v>45170</v>
      </c>
      <c r="J20" s="1"/>
      <c r="K20" s="1" t="s">
        <v>382</v>
      </c>
      <c r="L20" t="s">
        <v>353</v>
      </c>
      <c r="M20" s="3" t="s">
        <v>38</v>
      </c>
      <c r="N20" t="s">
        <v>26</v>
      </c>
      <c r="O20" t="s">
        <v>22</v>
      </c>
      <c r="P20" t="s">
        <v>423</v>
      </c>
      <c r="Q20" t="s">
        <v>384</v>
      </c>
      <c r="R20" t="s">
        <v>92</v>
      </c>
      <c r="S20" t="s">
        <v>265</v>
      </c>
      <c r="T20" t="s">
        <v>315</v>
      </c>
      <c r="U20">
        <f>VLOOKUP($B20,Table2[[Employee Id]:[Annual CTC]],14,0)</f>
        <v>1100000</v>
      </c>
    </row>
    <row r="21" spans="1:21" x14ac:dyDescent="0.25">
      <c r="A21">
        <v>20</v>
      </c>
      <c r="B21" t="s">
        <v>53</v>
      </c>
      <c r="C21" t="s">
        <v>184</v>
      </c>
      <c r="D21" t="s">
        <v>185</v>
      </c>
      <c r="E21" t="s">
        <v>19</v>
      </c>
      <c r="F21" t="s">
        <v>20</v>
      </c>
      <c r="G21">
        <f t="shared" ca="1" si="0"/>
        <v>29</v>
      </c>
      <c r="H21" s="1">
        <v>35644</v>
      </c>
      <c r="I21" s="1">
        <v>45173</v>
      </c>
      <c r="J21" s="1"/>
      <c r="K21" s="1" t="s">
        <v>372</v>
      </c>
      <c r="L21" t="s">
        <v>353</v>
      </c>
      <c r="M21" s="3" t="s">
        <v>43</v>
      </c>
      <c r="N21" t="s">
        <v>405</v>
      </c>
      <c r="O21" t="s">
        <v>22</v>
      </c>
      <c r="P21" t="s">
        <v>423</v>
      </c>
      <c r="Q21" t="s">
        <v>383</v>
      </c>
      <c r="R21" t="s">
        <v>97</v>
      </c>
      <c r="S21" t="s">
        <v>266</v>
      </c>
      <c r="T21" t="s">
        <v>316</v>
      </c>
      <c r="U21">
        <f>VLOOKUP($B21,Table2[[Employee Id]:[Annual CTC]],14,0)</f>
        <v>780000</v>
      </c>
    </row>
    <row r="22" spans="1:21" x14ac:dyDescent="0.25">
      <c r="A22">
        <v>21</v>
      </c>
      <c r="B22" t="s">
        <v>55</v>
      </c>
      <c r="C22" t="s">
        <v>186</v>
      </c>
      <c r="D22" t="s">
        <v>187</v>
      </c>
      <c r="E22" t="s">
        <v>19</v>
      </c>
      <c r="F22" t="s">
        <v>20</v>
      </c>
      <c r="G22">
        <f t="shared" ca="1" si="0"/>
        <v>28</v>
      </c>
      <c r="H22" s="1">
        <v>35993</v>
      </c>
      <c r="I22" s="1">
        <v>45222</v>
      </c>
      <c r="J22" s="1">
        <v>45950</v>
      </c>
      <c r="K22" s="1" t="s">
        <v>370</v>
      </c>
      <c r="L22" t="s">
        <v>363</v>
      </c>
      <c r="M22" s="3" t="s">
        <v>35</v>
      </c>
      <c r="N22" t="s">
        <v>29</v>
      </c>
      <c r="O22" t="s">
        <v>27</v>
      </c>
      <c r="P22" t="s">
        <v>424</v>
      </c>
      <c r="Q22" t="s">
        <v>385</v>
      </c>
      <c r="R22" t="s">
        <v>98</v>
      </c>
      <c r="S22" t="s">
        <v>267</v>
      </c>
      <c r="T22" t="s">
        <v>317</v>
      </c>
      <c r="U22">
        <f>VLOOKUP($B22,Table2[[Employee Id]:[Annual CTC]],14,0)</f>
        <v>675000</v>
      </c>
    </row>
    <row r="23" spans="1:21" x14ac:dyDescent="0.25">
      <c r="A23">
        <v>22</v>
      </c>
      <c r="B23" t="s">
        <v>56</v>
      </c>
      <c r="C23" t="s">
        <v>188</v>
      </c>
      <c r="D23" t="s">
        <v>189</v>
      </c>
      <c r="E23" t="s">
        <v>19</v>
      </c>
      <c r="F23" t="s">
        <v>20</v>
      </c>
      <c r="G23">
        <f t="shared" ca="1" si="0"/>
        <v>27</v>
      </c>
      <c r="H23" s="1">
        <v>36255</v>
      </c>
      <c r="I23" s="1">
        <v>45236</v>
      </c>
      <c r="J23" s="1"/>
      <c r="K23" s="1" t="s">
        <v>370</v>
      </c>
      <c r="L23" t="s">
        <v>363</v>
      </c>
      <c r="M23" s="3" t="s">
        <v>35</v>
      </c>
      <c r="N23" t="s">
        <v>26</v>
      </c>
      <c r="O23" t="s">
        <v>22</v>
      </c>
      <c r="P23" t="s">
        <v>423</v>
      </c>
      <c r="Q23" t="s">
        <v>384</v>
      </c>
      <c r="R23" t="s">
        <v>99</v>
      </c>
      <c r="S23" t="s">
        <v>268</v>
      </c>
      <c r="T23" t="s">
        <v>318</v>
      </c>
      <c r="U23">
        <f>VLOOKUP($B23,Table2[[Employee Id]:[Annual CTC]],14,0)</f>
        <v>680000</v>
      </c>
    </row>
    <row r="24" spans="1:21" x14ac:dyDescent="0.25">
      <c r="A24">
        <v>23</v>
      </c>
      <c r="B24" t="s">
        <v>58</v>
      </c>
      <c r="C24" t="s">
        <v>190</v>
      </c>
      <c r="D24" t="s">
        <v>191</v>
      </c>
      <c r="E24" t="s">
        <v>31</v>
      </c>
      <c r="F24" t="s">
        <v>20</v>
      </c>
      <c r="G24">
        <f t="shared" ca="1" si="0"/>
        <v>27</v>
      </c>
      <c r="H24" s="1">
        <v>36069</v>
      </c>
      <c r="I24" s="1">
        <v>45320</v>
      </c>
      <c r="J24" s="1"/>
      <c r="K24" s="1" t="s">
        <v>359</v>
      </c>
      <c r="L24" t="s">
        <v>398</v>
      </c>
      <c r="M24" s="3" t="s">
        <v>18</v>
      </c>
      <c r="N24" t="s">
        <v>29</v>
      </c>
      <c r="O24" t="s">
        <v>22</v>
      </c>
      <c r="P24" t="s">
        <v>424</v>
      </c>
      <c r="Q24" t="s">
        <v>384</v>
      </c>
      <c r="R24" t="s">
        <v>100</v>
      </c>
      <c r="S24" t="s">
        <v>269</v>
      </c>
      <c r="T24" t="s">
        <v>319</v>
      </c>
      <c r="U24">
        <f>VLOOKUP($B24,Table2[[Employee Id]:[Annual CTC]],14,0)</f>
        <v>1200000</v>
      </c>
    </row>
    <row r="25" spans="1:21" x14ac:dyDescent="0.25">
      <c r="A25">
        <v>24</v>
      </c>
      <c r="B25" t="s">
        <v>59</v>
      </c>
      <c r="C25" t="s">
        <v>192</v>
      </c>
      <c r="D25" t="s">
        <v>193</v>
      </c>
      <c r="E25" t="s">
        <v>19</v>
      </c>
      <c r="F25" t="s">
        <v>25</v>
      </c>
      <c r="G25">
        <f t="shared" ca="1" si="0"/>
        <v>26</v>
      </c>
      <c r="H25" s="1">
        <v>36527</v>
      </c>
      <c r="I25" s="1">
        <v>45327</v>
      </c>
      <c r="J25" s="1">
        <v>46084</v>
      </c>
      <c r="K25" s="1" t="s">
        <v>366</v>
      </c>
      <c r="L25" t="s">
        <v>397</v>
      </c>
      <c r="M25" s="3" t="s">
        <v>51</v>
      </c>
      <c r="N25" t="s">
        <v>405</v>
      </c>
      <c r="O25" t="s">
        <v>27</v>
      </c>
      <c r="P25" t="s">
        <v>424</v>
      </c>
      <c r="Q25" t="s">
        <v>383</v>
      </c>
      <c r="R25" t="s">
        <v>106</v>
      </c>
      <c r="S25" t="s">
        <v>270</v>
      </c>
      <c r="T25" t="s">
        <v>320</v>
      </c>
      <c r="U25">
        <f>VLOOKUP($B25,Table2[[Employee Id]:[Annual CTC]],14,0)</f>
        <v>780000</v>
      </c>
    </row>
    <row r="26" spans="1:21" x14ac:dyDescent="0.25">
      <c r="A26">
        <v>25</v>
      </c>
      <c r="B26" t="s">
        <v>60</v>
      </c>
      <c r="C26" t="s">
        <v>194</v>
      </c>
      <c r="D26" t="s">
        <v>195</v>
      </c>
      <c r="E26" t="s">
        <v>19</v>
      </c>
      <c r="F26" t="s">
        <v>20</v>
      </c>
      <c r="G26">
        <f t="shared" ca="1" si="0"/>
        <v>26</v>
      </c>
      <c r="H26" s="1">
        <v>36614</v>
      </c>
      <c r="I26" s="1">
        <v>45328</v>
      </c>
      <c r="J26" s="1"/>
      <c r="K26" s="1" t="s">
        <v>366</v>
      </c>
      <c r="L26" t="s">
        <v>397</v>
      </c>
      <c r="M26" s="3" t="s">
        <v>51</v>
      </c>
      <c r="N26" t="s">
        <v>32</v>
      </c>
      <c r="O26" t="s">
        <v>22</v>
      </c>
      <c r="P26" t="s">
        <v>424</v>
      </c>
      <c r="Q26" t="s">
        <v>384</v>
      </c>
      <c r="R26" t="s">
        <v>101</v>
      </c>
      <c r="S26" t="s">
        <v>271</v>
      </c>
      <c r="T26" t="s">
        <v>321</v>
      </c>
      <c r="U26">
        <f>VLOOKUP($B26,Table2[[Employee Id]:[Annual CTC]],14,0)</f>
        <v>725000</v>
      </c>
    </row>
    <row r="27" spans="1:21" x14ac:dyDescent="0.25">
      <c r="A27">
        <v>26</v>
      </c>
      <c r="B27" t="s">
        <v>61</v>
      </c>
      <c r="C27" t="s">
        <v>196</v>
      </c>
      <c r="D27" t="s">
        <v>197</v>
      </c>
      <c r="E27" t="s">
        <v>19</v>
      </c>
      <c r="F27" t="s">
        <v>20</v>
      </c>
      <c r="G27">
        <f t="shared" ca="1" si="0"/>
        <v>26</v>
      </c>
      <c r="H27" s="1">
        <v>36446</v>
      </c>
      <c r="I27" s="1">
        <v>45404</v>
      </c>
      <c r="J27" s="1">
        <v>46012</v>
      </c>
      <c r="K27" s="1" t="s">
        <v>372</v>
      </c>
      <c r="L27" t="s">
        <v>353</v>
      </c>
      <c r="M27" s="3" t="s">
        <v>52</v>
      </c>
      <c r="N27" t="s">
        <v>21</v>
      </c>
      <c r="O27" t="s">
        <v>27</v>
      </c>
      <c r="P27" t="s">
        <v>423</v>
      </c>
      <c r="Q27" t="s">
        <v>384</v>
      </c>
      <c r="R27" t="s">
        <v>102</v>
      </c>
      <c r="S27" t="s">
        <v>272</v>
      </c>
      <c r="T27" t="s">
        <v>322</v>
      </c>
      <c r="U27">
        <f>VLOOKUP($B27,Table2[[Employee Id]:[Annual CTC]],14,0)</f>
        <v>825000</v>
      </c>
    </row>
    <row r="28" spans="1:21" x14ac:dyDescent="0.25">
      <c r="A28">
        <v>27</v>
      </c>
      <c r="B28" t="s">
        <v>62</v>
      </c>
      <c r="C28" t="s">
        <v>198</v>
      </c>
      <c r="D28" t="s">
        <v>199</v>
      </c>
      <c r="E28" t="s">
        <v>19</v>
      </c>
      <c r="F28" t="s">
        <v>20</v>
      </c>
      <c r="G28">
        <f t="shared" ca="1" si="0"/>
        <v>28</v>
      </c>
      <c r="H28" s="1">
        <v>35935</v>
      </c>
      <c r="I28" s="1">
        <v>45418</v>
      </c>
      <c r="J28" s="1"/>
      <c r="K28" s="1" t="s">
        <v>359</v>
      </c>
      <c r="L28" t="s">
        <v>398</v>
      </c>
      <c r="M28" s="3" t="s">
        <v>28</v>
      </c>
      <c r="N28" t="s">
        <v>26</v>
      </c>
      <c r="O28" t="s">
        <v>22</v>
      </c>
      <c r="P28" t="s">
        <v>424</v>
      </c>
      <c r="Q28" t="s">
        <v>383</v>
      </c>
      <c r="R28" t="s">
        <v>103</v>
      </c>
      <c r="S28" t="s">
        <v>273</v>
      </c>
      <c r="T28" t="s">
        <v>323</v>
      </c>
      <c r="U28">
        <f>VLOOKUP($B28,Table2[[Employee Id]:[Annual CTC]],14,0)</f>
        <v>1150000</v>
      </c>
    </row>
    <row r="29" spans="1:21" x14ac:dyDescent="0.25">
      <c r="A29">
        <v>28</v>
      </c>
      <c r="B29" t="s">
        <v>64</v>
      </c>
      <c r="C29" t="s">
        <v>200</v>
      </c>
      <c r="D29" t="s">
        <v>201</v>
      </c>
      <c r="E29" t="s">
        <v>19</v>
      </c>
      <c r="F29" t="s">
        <v>20</v>
      </c>
      <c r="G29">
        <f t="shared" ca="1" si="0"/>
        <v>27</v>
      </c>
      <c r="H29" s="1">
        <v>36318</v>
      </c>
      <c r="I29" s="1">
        <v>45502</v>
      </c>
      <c r="J29" s="1"/>
      <c r="K29" s="1" t="s">
        <v>381</v>
      </c>
      <c r="L29" t="s">
        <v>353</v>
      </c>
      <c r="M29" s="3" t="s">
        <v>43</v>
      </c>
      <c r="N29" t="s">
        <v>29</v>
      </c>
      <c r="O29" t="s">
        <v>22</v>
      </c>
      <c r="P29" t="s">
        <v>423</v>
      </c>
      <c r="Q29" t="s">
        <v>383</v>
      </c>
      <c r="R29" t="s">
        <v>104</v>
      </c>
      <c r="S29" t="s">
        <v>274</v>
      </c>
      <c r="T29" t="s">
        <v>324</v>
      </c>
      <c r="U29">
        <f>VLOOKUP($B29,Table2[[Employee Id]:[Annual CTC]],14,0)</f>
        <v>450000</v>
      </c>
    </row>
    <row r="30" spans="1:21" x14ac:dyDescent="0.25">
      <c r="A30">
        <v>29</v>
      </c>
      <c r="B30" t="s">
        <v>65</v>
      </c>
      <c r="C30" t="s">
        <v>202</v>
      </c>
      <c r="D30" t="s">
        <v>203</v>
      </c>
      <c r="E30" t="s">
        <v>19</v>
      </c>
      <c r="F30" t="s">
        <v>20</v>
      </c>
      <c r="G30">
        <f t="shared" ca="1" si="0"/>
        <v>26</v>
      </c>
      <c r="H30" s="1">
        <v>36597</v>
      </c>
      <c r="I30" s="1">
        <v>45509</v>
      </c>
      <c r="J30" s="1"/>
      <c r="K30" s="1" t="s">
        <v>370</v>
      </c>
      <c r="L30" t="s">
        <v>363</v>
      </c>
      <c r="M30" s="3" t="s">
        <v>35</v>
      </c>
      <c r="N30" t="s">
        <v>405</v>
      </c>
      <c r="O30" t="s">
        <v>22</v>
      </c>
      <c r="P30" t="s">
        <v>423</v>
      </c>
      <c r="Q30" t="s">
        <v>385</v>
      </c>
      <c r="R30" t="s">
        <v>105</v>
      </c>
      <c r="S30" t="s">
        <v>275</v>
      </c>
      <c r="T30" t="s">
        <v>325</v>
      </c>
      <c r="U30">
        <f>VLOOKUP($B30,Table2[[Employee Id]:[Annual CTC]],14,0)</f>
        <v>650000</v>
      </c>
    </row>
    <row r="31" spans="1:21" x14ac:dyDescent="0.25">
      <c r="A31">
        <v>30</v>
      </c>
      <c r="B31" t="s">
        <v>66</v>
      </c>
      <c r="C31" t="s">
        <v>204</v>
      </c>
      <c r="D31" t="s">
        <v>205</v>
      </c>
      <c r="E31" t="s">
        <v>31</v>
      </c>
      <c r="F31" t="s">
        <v>20</v>
      </c>
      <c r="G31">
        <f t="shared" ca="1" si="0"/>
        <v>26</v>
      </c>
      <c r="H31" s="1">
        <v>36496</v>
      </c>
      <c r="I31" s="1">
        <v>45537</v>
      </c>
      <c r="J31" s="1">
        <v>46098</v>
      </c>
      <c r="K31" s="1" t="s">
        <v>357</v>
      </c>
      <c r="L31" t="s">
        <v>354</v>
      </c>
      <c r="M31" s="3" t="s">
        <v>24</v>
      </c>
      <c r="N31" t="s">
        <v>29</v>
      </c>
      <c r="O31" t="s">
        <v>27</v>
      </c>
      <c r="P31" t="s">
        <v>424</v>
      </c>
      <c r="Q31" t="s">
        <v>383</v>
      </c>
      <c r="R31" t="s">
        <v>107</v>
      </c>
      <c r="S31" t="s">
        <v>276</v>
      </c>
      <c r="T31" t="s">
        <v>326</v>
      </c>
      <c r="U31">
        <f>VLOOKUP($B31,Table2[[Employee Id]:[Annual CTC]],14,0)</f>
        <v>1435000</v>
      </c>
    </row>
    <row r="32" spans="1:21" x14ac:dyDescent="0.25">
      <c r="A32">
        <v>31</v>
      </c>
      <c r="B32" t="s">
        <v>68</v>
      </c>
      <c r="C32" t="s">
        <v>206</v>
      </c>
      <c r="D32" t="s">
        <v>207</v>
      </c>
      <c r="E32" t="s">
        <v>19</v>
      </c>
      <c r="F32" t="s">
        <v>20</v>
      </c>
      <c r="G32">
        <f t="shared" ca="1" si="0"/>
        <v>26</v>
      </c>
      <c r="H32" s="1">
        <v>36663</v>
      </c>
      <c r="I32" s="1">
        <v>45579</v>
      </c>
      <c r="J32" s="1"/>
      <c r="K32" s="1" t="s">
        <v>366</v>
      </c>
      <c r="L32" t="s">
        <v>397</v>
      </c>
      <c r="M32" s="3" t="s">
        <v>51</v>
      </c>
      <c r="N32" t="s">
        <v>21</v>
      </c>
      <c r="O32" t="s">
        <v>22</v>
      </c>
      <c r="P32" t="s">
        <v>423</v>
      </c>
      <c r="Q32" t="s">
        <v>384</v>
      </c>
      <c r="R32" t="s">
        <v>109</v>
      </c>
      <c r="S32" t="s">
        <v>277</v>
      </c>
      <c r="T32" t="s">
        <v>327</v>
      </c>
      <c r="U32">
        <f>VLOOKUP($B32,Table2[[Employee Id]:[Annual CTC]],14,0)</f>
        <v>700000</v>
      </c>
    </row>
    <row r="33" spans="1:21" x14ac:dyDescent="0.25">
      <c r="A33">
        <v>32</v>
      </c>
      <c r="B33" t="s">
        <v>69</v>
      </c>
      <c r="C33" t="s">
        <v>208</v>
      </c>
      <c r="D33" t="s">
        <v>209</v>
      </c>
      <c r="E33" t="s">
        <v>19</v>
      </c>
      <c r="F33" t="s">
        <v>25</v>
      </c>
      <c r="G33">
        <f t="shared" ca="1" si="0"/>
        <v>26</v>
      </c>
      <c r="H33" s="1">
        <v>36754</v>
      </c>
      <c r="I33" s="1">
        <v>45607</v>
      </c>
      <c r="J33" s="1"/>
      <c r="K33" s="1" t="s">
        <v>368</v>
      </c>
      <c r="L33" t="s">
        <v>398</v>
      </c>
      <c r="M33" s="3" t="s">
        <v>58</v>
      </c>
      <c r="N33" t="s">
        <v>32</v>
      </c>
      <c r="O33" t="s">
        <v>22</v>
      </c>
      <c r="P33" t="s">
        <v>424</v>
      </c>
      <c r="Q33" t="s">
        <v>384</v>
      </c>
      <c r="R33" t="s">
        <v>116</v>
      </c>
      <c r="S33" t="s">
        <v>278</v>
      </c>
      <c r="T33" t="s">
        <v>328</v>
      </c>
      <c r="U33">
        <f>VLOOKUP($B33,Table2[[Employee Id]:[Annual CTC]],14,0)</f>
        <v>750000</v>
      </c>
    </row>
    <row r="34" spans="1:21" x14ac:dyDescent="0.25">
      <c r="A34">
        <v>33</v>
      </c>
      <c r="B34" t="s">
        <v>70</v>
      </c>
      <c r="C34" t="s">
        <v>210</v>
      </c>
      <c r="D34" t="s">
        <v>211</v>
      </c>
      <c r="E34" t="s">
        <v>31</v>
      </c>
      <c r="F34" t="s">
        <v>25</v>
      </c>
      <c r="G34">
        <f t="shared" ca="1" si="0"/>
        <v>25</v>
      </c>
      <c r="H34" s="1">
        <v>36935</v>
      </c>
      <c r="I34" s="1">
        <v>45614</v>
      </c>
      <c r="J34" s="1"/>
      <c r="K34" s="1" t="s">
        <v>365</v>
      </c>
      <c r="L34" t="s">
        <v>354</v>
      </c>
      <c r="M34" s="3" t="s">
        <v>45</v>
      </c>
      <c r="N34" t="s">
        <v>21</v>
      </c>
      <c r="O34" t="s">
        <v>22</v>
      </c>
      <c r="P34" t="s">
        <v>423</v>
      </c>
      <c r="Q34" t="s">
        <v>383</v>
      </c>
      <c r="R34" t="s">
        <v>117</v>
      </c>
      <c r="S34" t="s">
        <v>279</v>
      </c>
      <c r="T34" t="s">
        <v>329</v>
      </c>
      <c r="U34">
        <f>VLOOKUP($B34,Table2[[Employee Id]:[Annual CTC]],14,0)</f>
        <v>1250000</v>
      </c>
    </row>
    <row r="35" spans="1:21" x14ac:dyDescent="0.25">
      <c r="A35">
        <v>34</v>
      </c>
      <c r="B35" t="s">
        <v>71</v>
      </c>
      <c r="C35" t="s">
        <v>212</v>
      </c>
      <c r="D35" t="s">
        <v>213</v>
      </c>
      <c r="E35" t="s">
        <v>19</v>
      </c>
      <c r="F35" t="s">
        <v>20</v>
      </c>
      <c r="G35">
        <f t="shared" ca="1" si="0"/>
        <v>26</v>
      </c>
      <c r="H35" s="1">
        <v>36784</v>
      </c>
      <c r="I35" s="1">
        <v>45649</v>
      </c>
      <c r="J35" s="1">
        <v>46041</v>
      </c>
      <c r="K35" s="1" t="s">
        <v>368</v>
      </c>
      <c r="L35" t="s">
        <v>398</v>
      </c>
      <c r="M35" s="3" t="s">
        <v>62</v>
      </c>
      <c r="N35" t="s">
        <v>32</v>
      </c>
      <c r="O35" t="s">
        <v>27</v>
      </c>
      <c r="P35" t="s">
        <v>423</v>
      </c>
      <c r="Q35" t="s">
        <v>383</v>
      </c>
      <c r="R35" t="s">
        <v>108</v>
      </c>
      <c r="S35" t="s">
        <v>280</v>
      </c>
      <c r="T35" t="s">
        <v>330</v>
      </c>
      <c r="U35">
        <f>VLOOKUP($B35,Table2[[Employee Id]:[Annual CTC]],14,0)</f>
        <v>625000</v>
      </c>
    </row>
    <row r="36" spans="1:21" x14ac:dyDescent="0.25">
      <c r="A36">
        <v>35</v>
      </c>
      <c r="B36" t="s">
        <v>72</v>
      </c>
      <c r="C36" t="s">
        <v>214</v>
      </c>
      <c r="D36" t="s">
        <v>215</v>
      </c>
      <c r="E36" t="s">
        <v>19</v>
      </c>
      <c r="F36" t="s">
        <v>20</v>
      </c>
      <c r="G36">
        <f t="shared" ca="1" si="0"/>
        <v>25</v>
      </c>
      <c r="H36" s="1">
        <v>36892</v>
      </c>
      <c r="I36" s="1">
        <v>45663</v>
      </c>
      <c r="J36" s="1"/>
      <c r="K36" s="1" t="s">
        <v>368</v>
      </c>
      <c r="L36" t="s">
        <v>398</v>
      </c>
      <c r="M36" s="3" t="s">
        <v>62</v>
      </c>
      <c r="N36" t="s">
        <v>26</v>
      </c>
      <c r="O36" t="s">
        <v>22</v>
      </c>
      <c r="P36" t="s">
        <v>423</v>
      </c>
      <c r="Q36" t="s">
        <v>383</v>
      </c>
      <c r="R36" t="s">
        <v>110</v>
      </c>
      <c r="S36" t="s">
        <v>281</v>
      </c>
      <c r="T36" t="s">
        <v>331</v>
      </c>
      <c r="U36">
        <f>VLOOKUP($B36,Table2[[Employee Id]:[Annual CTC]],14,0)</f>
        <v>600000</v>
      </c>
    </row>
    <row r="37" spans="1:21" x14ac:dyDescent="0.25">
      <c r="A37">
        <v>36</v>
      </c>
      <c r="B37" t="s">
        <v>74</v>
      </c>
      <c r="C37" t="s">
        <v>216</v>
      </c>
      <c r="D37" t="s">
        <v>217</v>
      </c>
      <c r="E37" t="s">
        <v>19</v>
      </c>
      <c r="F37" t="s">
        <v>20</v>
      </c>
      <c r="G37">
        <f t="shared" ca="1" si="0"/>
        <v>26</v>
      </c>
      <c r="H37" s="1">
        <v>36678</v>
      </c>
      <c r="I37" s="1">
        <v>45782</v>
      </c>
      <c r="J37" s="1"/>
      <c r="K37" s="1" t="s">
        <v>371</v>
      </c>
      <c r="L37" t="s">
        <v>363</v>
      </c>
      <c r="M37" s="3" t="s">
        <v>56</v>
      </c>
      <c r="N37" t="s">
        <v>32</v>
      </c>
      <c r="O37" t="s">
        <v>22</v>
      </c>
      <c r="P37" t="s">
        <v>423</v>
      </c>
      <c r="Q37" t="s">
        <v>384</v>
      </c>
      <c r="R37" t="s">
        <v>111</v>
      </c>
      <c r="S37" t="s">
        <v>282</v>
      </c>
      <c r="T37" t="s">
        <v>332</v>
      </c>
      <c r="U37">
        <f>VLOOKUP($B37,Table2[[Employee Id]:[Annual CTC]],14,0)</f>
        <v>475000</v>
      </c>
    </row>
    <row r="38" spans="1:21" x14ac:dyDescent="0.25">
      <c r="A38">
        <v>37</v>
      </c>
      <c r="B38" t="s">
        <v>76</v>
      </c>
      <c r="C38" t="s">
        <v>218</v>
      </c>
      <c r="D38" t="s">
        <v>219</v>
      </c>
      <c r="E38" t="s">
        <v>19</v>
      </c>
      <c r="F38" t="s">
        <v>20</v>
      </c>
      <c r="G38">
        <f t="shared" ca="1" si="0"/>
        <v>25</v>
      </c>
      <c r="H38" s="1">
        <v>36860</v>
      </c>
      <c r="I38" s="1">
        <v>45831</v>
      </c>
      <c r="J38" s="1">
        <v>46008</v>
      </c>
      <c r="K38" s="1" t="s">
        <v>367</v>
      </c>
      <c r="L38" t="s">
        <v>397</v>
      </c>
      <c r="M38" s="3" t="s">
        <v>51</v>
      </c>
      <c r="N38" t="s">
        <v>21</v>
      </c>
      <c r="O38" t="s">
        <v>27</v>
      </c>
      <c r="P38" t="s">
        <v>423</v>
      </c>
      <c r="Q38" t="s">
        <v>383</v>
      </c>
      <c r="R38" t="s">
        <v>112</v>
      </c>
      <c r="S38" t="s">
        <v>283</v>
      </c>
      <c r="T38" t="s">
        <v>333</v>
      </c>
      <c r="U38">
        <f>VLOOKUP($B38,Table2[[Employee Id]:[Annual CTC]],14,0)</f>
        <v>450000</v>
      </c>
    </row>
    <row r="39" spans="1:21" x14ac:dyDescent="0.25">
      <c r="A39">
        <v>38</v>
      </c>
      <c r="B39" t="s">
        <v>78</v>
      </c>
      <c r="C39" t="s">
        <v>220</v>
      </c>
      <c r="D39" t="s">
        <v>221</v>
      </c>
      <c r="E39" t="s">
        <v>31</v>
      </c>
      <c r="F39" t="s">
        <v>20</v>
      </c>
      <c r="G39">
        <f t="shared" ca="1" si="0"/>
        <v>25</v>
      </c>
      <c r="H39" s="1">
        <v>36926</v>
      </c>
      <c r="I39" s="1">
        <v>45852</v>
      </c>
      <c r="J39" s="1"/>
      <c r="K39" s="1" t="s">
        <v>367</v>
      </c>
      <c r="L39" t="s">
        <v>397</v>
      </c>
      <c r="M39" s="3" t="s">
        <v>51</v>
      </c>
      <c r="N39" t="s">
        <v>26</v>
      </c>
      <c r="O39" t="s">
        <v>22</v>
      </c>
      <c r="P39" t="s">
        <v>423</v>
      </c>
      <c r="Q39" t="s">
        <v>384</v>
      </c>
      <c r="R39" t="s">
        <v>113</v>
      </c>
      <c r="S39" t="s">
        <v>284</v>
      </c>
      <c r="T39" t="s">
        <v>334</v>
      </c>
      <c r="U39">
        <f>VLOOKUP($B39,Table2[[Employee Id]:[Annual CTC]],14,0)</f>
        <v>450000</v>
      </c>
    </row>
    <row r="40" spans="1:21" x14ac:dyDescent="0.25">
      <c r="A40">
        <v>39</v>
      </c>
      <c r="B40" t="s">
        <v>80</v>
      </c>
      <c r="C40" t="s">
        <v>222</v>
      </c>
      <c r="D40" t="s">
        <v>223</v>
      </c>
      <c r="E40" t="s">
        <v>19</v>
      </c>
      <c r="F40" t="s">
        <v>20</v>
      </c>
      <c r="G40">
        <f t="shared" ca="1" si="0"/>
        <v>25</v>
      </c>
      <c r="H40" s="1">
        <v>36937</v>
      </c>
      <c r="I40" s="1">
        <v>45901</v>
      </c>
      <c r="J40" s="1"/>
      <c r="K40" s="1" t="s">
        <v>362</v>
      </c>
      <c r="L40" t="s">
        <v>354</v>
      </c>
      <c r="M40" s="3" t="s">
        <v>24</v>
      </c>
      <c r="N40" t="s">
        <v>405</v>
      </c>
      <c r="O40" t="s">
        <v>22</v>
      </c>
      <c r="P40" t="s">
        <v>423</v>
      </c>
      <c r="Q40" t="s">
        <v>385</v>
      </c>
      <c r="R40" t="s">
        <v>118</v>
      </c>
      <c r="S40" t="s">
        <v>285</v>
      </c>
      <c r="T40" t="s">
        <v>335</v>
      </c>
      <c r="U40">
        <f>VLOOKUP($B40,Table2[[Employee Id]:[Annual CTC]],14,0)</f>
        <v>1275000</v>
      </c>
    </row>
    <row r="41" spans="1:21" x14ac:dyDescent="0.25">
      <c r="A41">
        <v>40</v>
      </c>
      <c r="B41" t="s">
        <v>82</v>
      </c>
      <c r="C41" t="s">
        <v>224</v>
      </c>
      <c r="D41" t="s">
        <v>225</v>
      </c>
      <c r="E41" t="s">
        <v>19</v>
      </c>
      <c r="F41" t="s">
        <v>20</v>
      </c>
      <c r="G41">
        <f t="shared" ca="1" si="0"/>
        <v>25</v>
      </c>
      <c r="H41" s="1">
        <v>36989</v>
      </c>
      <c r="I41" s="1">
        <v>45908</v>
      </c>
      <c r="J41" s="1">
        <v>46077</v>
      </c>
      <c r="K41" s="1" t="s">
        <v>371</v>
      </c>
      <c r="L41" t="s">
        <v>363</v>
      </c>
      <c r="M41" s="3" t="s">
        <v>65</v>
      </c>
      <c r="N41" t="s">
        <v>26</v>
      </c>
      <c r="O41" t="s">
        <v>27</v>
      </c>
      <c r="P41" t="s">
        <v>423</v>
      </c>
      <c r="Q41" t="s">
        <v>385</v>
      </c>
      <c r="R41" t="s">
        <v>114</v>
      </c>
      <c r="S41" t="s">
        <v>286</v>
      </c>
      <c r="T41" t="s">
        <v>336</v>
      </c>
      <c r="U41">
        <f>VLOOKUP($B41,Table2[[Employee Id]:[Annual CTC]],14,0)</f>
        <v>475000</v>
      </c>
    </row>
    <row r="42" spans="1:21" x14ac:dyDescent="0.25">
      <c r="A42">
        <v>41</v>
      </c>
      <c r="B42" t="s">
        <v>83</v>
      </c>
      <c r="C42" t="s">
        <v>226</v>
      </c>
      <c r="D42" t="s">
        <v>227</v>
      </c>
      <c r="E42" t="s">
        <v>31</v>
      </c>
      <c r="F42" t="s">
        <v>20</v>
      </c>
      <c r="G42">
        <f t="shared" ca="1" si="0"/>
        <v>25</v>
      </c>
      <c r="H42" s="1">
        <v>36947</v>
      </c>
      <c r="I42" s="1">
        <v>45978</v>
      </c>
      <c r="J42" s="1"/>
      <c r="K42" s="1" t="s">
        <v>365</v>
      </c>
      <c r="L42" t="s">
        <v>354</v>
      </c>
      <c r="M42" s="3" t="s">
        <v>48</v>
      </c>
      <c r="N42" t="s">
        <v>32</v>
      </c>
      <c r="O42" t="s">
        <v>22</v>
      </c>
      <c r="P42" t="s">
        <v>424</v>
      </c>
      <c r="Q42" t="s">
        <v>384</v>
      </c>
      <c r="R42" t="s">
        <v>115</v>
      </c>
      <c r="S42" t="s">
        <v>287</v>
      </c>
      <c r="T42" t="s">
        <v>337</v>
      </c>
      <c r="U42">
        <f>VLOOKUP($B42,Table2[[Employee Id]:[Annual CTC]],14,0)</f>
        <v>1180000</v>
      </c>
    </row>
    <row r="43" spans="1:21" x14ac:dyDescent="0.25">
      <c r="A43">
        <v>42</v>
      </c>
      <c r="B43" t="s">
        <v>85</v>
      </c>
      <c r="C43" t="s">
        <v>228</v>
      </c>
      <c r="D43" t="s">
        <v>229</v>
      </c>
      <c r="E43" t="s">
        <v>19</v>
      </c>
      <c r="F43" t="s">
        <v>20</v>
      </c>
      <c r="G43">
        <f t="shared" ca="1" si="0"/>
        <v>25</v>
      </c>
      <c r="H43" s="1">
        <v>36930</v>
      </c>
      <c r="I43" s="1">
        <v>45992</v>
      </c>
      <c r="J43" s="1"/>
      <c r="K43" s="1" t="s">
        <v>381</v>
      </c>
      <c r="L43" t="s">
        <v>353</v>
      </c>
      <c r="M43" s="3" t="s">
        <v>43</v>
      </c>
      <c r="N43" t="s">
        <v>32</v>
      </c>
      <c r="O43" t="s">
        <v>22</v>
      </c>
      <c r="P43" t="s">
        <v>423</v>
      </c>
      <c r="Q43" t="s">
        <v>383</v>
      </c>
      <c r="R43" t="s">
        <v>120</v>
      </c>
      <c r="S43" t="s">
        <v>288</v>
      </c>
      <c r="T43" t="s">
        <v>338</v>
      </c>
      <c r="U43">
        <f>VLOOKUP($B43,Table2[[Employee Id]:[Annual CTC]],14,0)</f>
        <v>450000</v>
      </c>
    </row>
    <row r="44" spans="1:21" x14ac:dyDescent="0.25">
      <c r="A44">
        <v>43</v>
      </c>
      <c r="B44" t="s">
        <v>86</v>
      </c>
      <c r="C44" t="s">
        <v>230</v>
      </c>
      <c r="D44" t="s">
        <v>231</v>
      </c>
      <c r="E44" t="s">
        <v>31</v>
      </c>
      <c r="F44" t="s">
        <v>20</v>
      </c>
      <c r="G44">
        <f t="shared" ca="1" si="0"/>
        <v>25</v>
      </c>
      <c r="H44" s="1">
        <v>37033</v>
      </c>
      <c r="I44" s="1">
        <v>46027</v>
      </c>
      <c r="J44" s="1"/>
      <c r="K44" s="1" t="s">
        <v>368</v>
      </c>
      <c r="L44" t="s">
        <v>398</v>
      </c>
      <c r="M44" s="3" t="s">
        <v>58</v>
      </c>
      <c r="N44" t="s">
        <v>21</v>
      </c>
      <c r="O44" t="s">
        <v>22</v>
      </c>
      <c r="P44" t="s">
        <v>424</v>
      </c>
      <c r="Q44" t="s">
        <v>384</v>
      </c>
      <c r="R44" t="s">
        <v>121</v>
      </c>
      <c r="S44" t="s">
        <v>289</v>
      </c>
      <c r="T44" t="s">
        <v>339</v>
      </c>
      <c r="U44">
        <f>VLOOKUP($B44,Table2[[Employee Id]:[Annual CTC]],14,0)</f>
        <v>575000</v>
      </c>
    </row>
    <row r="45" spans="1:21" x14ac:dyDescent="0.25">
      <c r="A45">
        <v>44</v>
      </c>
      <c r="B45" t="s">
        <v>87</v>
      </c>
      <c r="C45" t="s">
        <v>232</v>
      </c>
      <c r="D45" t="s">
        <v>233</v>
      </c>
      <c r="E45" t="s">
        <v>19</v>
      </c>
      <c r="F45" t="s">
        <v>20</v>
      </c>
      <c r="G45">
        <f t="shared" ca="1" si="0"/>
        <v>24</v>
      </c>
      <c r="H45" s="1">
        <v>37371</v>
      </c>
      <c r="I45" s="1">
        <v>46041</v>
      </c>
      <c r="J45" s="1"/>
      <c r="K45" s="1" t="s">
        <v>365</v>
      </c>
      <c r="L45" t="s">
        <v>354</v>
      </c>
      <c r="M45" s="3" t="s">
        <v>49</v>
      </c>
      <c r="N45" t="s">
        <v>405</v>
      </c>
      <c r="O45" t="s">
        <v>22</v>
      </c>
      <c r="P45" t="s">
        <v>424</v>
      </c>
      <c r="Q45" t="s">
        <v>385</v>
      </c>
      <c r="R45" t="s">
        <v>122</v>
      </c>
      <c r="S45" t="s">
        <v>290</v>
      </c>
      <c r="T45" t="s">
        <v>340</v>
      </c>
      <c r="U45">
        <f>VLOOKUP($B45,Table2[[Employee Id]:[Annual CTC]],14,0)</f>
        <v>1150000</v>
      </c>
    </row>
    <row r="46" spans="1:21" x14ac:dyDescent="0.25">
      <c r="A46">
        <v>45</v>
      </c>
      <c r="B46" t="s">
        <v>89</v>
      </c>
      <c r="C46" t="s">
        <v>234</v>
      </c>
      <c r="D46" t="s">
        <v>235</v>
      </c>
      <c r="E46" t="s">
        <v>19</v>
      </c>
      <c r="F46" t="s">
        <v>20</v>
      </c>
      <c r="G46">
        <f t="shared" ca="1" si="0"/>
        <v>24</v>
      </c>
      <c r="H46" s="1">
        <v>37182</v>
      </c>
      <c r="I46" s="1">
        <v>46056</v>
      </c>
      <c r="J46" s="1"/>
      <c r="K46" s="1" t="s">
        <v>367</v>
      </c>
      <c r="L46" t="s">
        <v>397</v>
      </c>
      <c r="M46" s="3" t="s">
        <v>51</v>
      </c>
      <c r="N46" t="s">
        <v>29</v>
      </c>
      <c r="O46" t="s">
        <v>22</v>
      </c>
      <c r="P46" t="s">
        <v>423</v>
      </c>
      <c r="Q46" t="s">
        <v>383</v>
      </c>
      <c r="R46" t="s">
        <v>123</v>
      </c>
      <c r="S46" t="s">
        <v>291</v>
      </c>
      <c r="T46" t="s">
        <v>341</v>
      </c>
      <c r="U46">
        <f>VLOOKUP($B46,Table2[[Employee Id]:[Annual CTC]],14,0)</f>
        <v>450000</v>
      </c>
    </row>
    <row r="47" spans="1:21" x14ac:dyDescent="0.25">
      <c r="A47">
        <v>46</v>
      </c>
      <c r="B47" t="s">
        <v>91</v>
      </c>
      <c r="C47" t="s">
        <v>236</v>
      </c>
      <c r="D47" t="s">
        <v>237</v>
      </c>
      <c r="E47" t="s">
        <v>31</v>
      </c>
      <c r="F47" t="s">
        <v>20</v>
      </c>
      <c r="G47">
        <f t="shared" ca="1" si="0"/>
        <v>24</v>
      </c>
      <c r="H47" s="1">
        <v>37348</v>
      </c>
      <c r="I47" s="1">
        <v>46062</v>
      </c>
      <c r="J47" s="1"/>
      <c r="K47" s="1" t="s">
        <v>368</v>
      </c>
      <c r="L47" t="s">
        <v>398</v>
      </c>
      <c r="M47" s="3" t="s">
        <v>58</v>
      </c>
      <c r="N47" t="s">
        <v>32</v>
      </c>
      <c r="O47" t="s">
        <v>22</v>
      </c>
      <c r="P47" t="s">
        <v>423</v>
      </c>
      <c r="Q47" t="s">
        <v>383</v>
      </c>
      <c r="R47" t="s">
        <v>124</v>
      </c>
      <c r="S47" t="s">
        <v>292</v>
      </c>
      <c r="T47" t="s">
        <v>342</v>
      </c>
      <c r="U47">
        <f>VLOOKUP($B47,Table2[[Employee Id]:[Annual CTC]],14,0)</f>
        <v>575000</v>
      </c>
    </row>
    <row r="48" spans="1:21" x14ac:dyDescent="0.25">
      <c r="A48">
        <v>47</v>
      </c>
      <c r="B48" t="s">
        <v>93</v>
      </c>
      <c r="C48" t="s">
        <v>238</v>
      </c>
      <c r="D48" t="s">
        <v>239</v>
      </c>
      <c r="E48" t="s">
        <v>19</v>
      </c>
      <c r="F48" t="s">
        <v>20</v>
      </c>
      <c r="G48">
        <f t="shared" ca="1" si="0"/>
        <v>24</v>
      </c>
      <c r="H48" s="1">
        <v>37235</v>
      </c>
      <c r="I48" s="1">
        <v>46063</v>
      </c>
      <c r="J48" s="1"/>
      <c r="K48" s="1" t="s">
        <v>368</v>
      </c>
      <c r="L48" t="s">
        <v>398</v>
      </c>
      <c r="M48" s="3" t="s">
        <v>62</v>
      </c>
      <c r="N48" t="s">
        <v>21</v>
      </c>
      <c r="O48" t="s">
        <v>22</v>
      </c>
      <c r="P48" t="s">
        <v>424</v>
      </c>
      <c r="Q48" t="s">
        <v>383</v>
      </c>
      <c r="R48" t="s">
        <v>125</v>
      </c>
      <c r="S48" t="s">
        <v>293</v>
      </c>
      <c r="T48" t="s">
        <v>343</v>
      </c>
      <c r="U48">
        <f>VLOOKUP($B48,Table2[[Employee Id]:[Annual CTC]],14,0)</f>
        <v>575000</v>
      </c>
    </row>
    <row r="49" spans="1:21" x14ac:dyDescent="0.25">
      <c r="A49">
        <v>48</v>
      </c>
      <c r="B49" t="s">
        <v>94</v>
      </c>
      <c r="C49" t="s">
        <v>240</v>
      </c>
      <c r="D49" t="s">
        <v>241</v>
      </c>
      <c r="E49" t="s">
        <v>19</v>
      </c>
      <c r="F49" t="s">
        <v>20</v>
      </c>
      <c r="G49">
        <f t="shared" ca="1" si="0"/>
        <v>25</v>
      </c>
      <c r="H49" s="1">
        <v>37079</v>
      </c>
      <c r="I49" s="1">
        <v>46091</v>
      </c>
      <c r="J49" s="1"/>
      <c r="K49" s="1" t="s">
        <v>367</v>
      </c>
      <c r="L49" t="s">
        <v>397</v>
      </c>
      <c r="M49" s="3" t="s">
        <v>51</v>
      </c>
      <c r="N49" t="s">
        <v>26</v>
      </c>
      <c r="O49" t="s">
        <v>22</v>
      </c>
      <c r="P49" t="s">
        <v>423</v>
      </c>
      <c r="Q49" t="s">
        <v>384</v>
      </c>
      <c r="R49" t="s">
        <v>126</v>
      </c>
      <c r="S49" t="s">
        <v>294</v>
      </c>
      <c r="T49" t="s">
        <v>344</v>
      </c>
      <c r="U49">
        <f>VLOOKUP($B49,Table2[[Employee Id]:[Annual CTC]],14,0)</f>
        <v>450000</v>
      </c>
    </row>
    <row r="50" spans="1:21" x14ac:dyDescent="0.25">
      <c r="A50">
        <v>49</v>
      </c>
      <c r="B50" t="s">
        <v>95</v>
      </c>
      <c r="C50" t="s">
        <v>242</v>
      </c>
      <c r="D50" t="s">
        <v>243</v>
      </c>
      <c r="E50" t="s">
        <v>19</v>
      </c>
      <c r="F50" t="s">
        <v>20</v>
      </c>
      <c r="G50">
        <f t="shared" ca="1" si="0"/>
        <v>24</v>
      </c>
      <c r="H50" s="1">
        <v>37311</v>
      </c>
      <c r="I50" s="1">
        <v>46098</v>
      </c>
      <c r="J50" s="1"/>
      <c r="K50" s="1" t="s">
        <v>371</v>
      </c>
      <c r="L50" t="s">
        <v>363</v>
      </c>
      <c r="M50" s="3" t="s">
        <v>65</v>
      </c>
      <c r="N50" t="s">
        <v>29</v>
      </c>
      <c r="O50" t="s">
        <v>22</v>
      </c>
      <c r="P50" t="s">
        <v>423</v>
      </c>
      <c r="Q50" t="s">
        <v>383</v>
      </c>
      <c r="R50" t="s">
        <v>127</v>
      </c>
      <c r="S50" t="s">
        <v>295</v>
      </c>
      <c r="T50" t="s">
        <v>345</v>
      </c>
      <c r="U50">
        <f>VLOOKUP($B50,Table2[[Employee Id]:[Annual CTC]],14,0)</f>
        <v>475000</v>
      </c>
    </row>
    <row r="51" spans="1:21" x14ac:dyDescent="0.25">
      <c r="A51">
        <v>50</v>
      </c>
      <c r="B51" t="s">
        <v>96</v>
      </c>
      <c r="C51" t="s">
        <v>244</v>
      </c>
      <c r="D51" t="s">
        <v>245</v>
      </c>
      <c r="E51" t="s">
        <v>19</v>
      </c>
      <c r="F51" t="s">
        <v>20</v>
      </c>
      <c r="G51">
        <f t="shared" ca="1" si="0"/>
        <v>24</v>
      </c>
      <c r="H51" s="1">
        <v>37451</v>
      </c>
      <c r="I51" s="1">
        <v>46105</v>
      </c>
      <c r="J51" s="1"/>
      <c r="K51" s="1" t="s">
        <v>381</v>
      </c>
      <c r="L51" t="s">
        <v>353</v>
      </c>
      <c r="M51" s="3" t="s">
        <v>52</v>
      </c>
      <c r="N51" t="s">
        <v>29</v>
      </c>
      <c r="O51" t="s">
        <v>22</v>
      </c>
      <c r="P51" t="s">
        <v>423</v>
      </c>
      <c r="Q51" t="s">
        <v>384</v>
      </c>
      <c r="R51" t="s">
        <v>119</v>
      </c>
      <c r="S51" t="s">
        <v>296</v>
      </c>
      <c r="T51" t="s">
        <v>346</v>
      </c>
      <c r="U51">
        <f>VLOOKUP($B51,Table2[[Employee Id]:[Annual CTC]],14,0)</f>
        <v>450000</v>
      </c>
    </row>
    <row r="59" spans="1:21" x14ac:dyDescent="0.25">
      <c r="K59" s="1"/>
    </row>
    <row r="60" spans="1:21" x14ac:dyDescent="0.25">
      <c r="K60" s="1"/>
    </row>
    <row r="61" spans="1:21" x14ac:dyDescent="0.25">
      <c r="K61" s="1"/>
    </row>
    <row r="62" spans="1:21" x14ac:dyDescent="0.25">
      <c r="K62" s="1"/>
    </row>
    <row r="63" spans="1:21" x14ac:dyDescent="0.25">
      <c r="K6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D49E-F852-42AB-B03C-33B67F192915}">
  <dimension ref="A1:O31"/>
  <sheetViews>
    <sheetView zoomScale="82" zoomScaleNormal="82" workbookViewId="0">
      <selection activeCell="S29" sqref="S29"/>
    </sheetView>
  </sheetViews>
  <sheetFormatPr defaultRowHeight="15" x14ac:dyDescent="0.25"/>
  <cols>
    <col min="1" max="1" width="11.42578125" bestFit="1" customWidth="1"/>
    <col min="2" max="2" width="20.28515625" bestFit="1" customWidth="1"/>
    <col min="3" max="3" width="8.85546875" bestFit="1" customWidth="1"/>
    <col min="4" max="4" width="12.5703125" customWidth="1"/>
    <col min="5" max="5" width="14" bestFit="1" customWidth="1"/>
    <col min="6" max="6" width="14.42578125" bestFit="1" customWidth="1"/>
    <col min="7" max="7" width="20.28515625" bestFit="1" customWidth="1"/>
    <col min="8" max="8" width="10.5703125" bestFit="1" customWidth="1"/>
    <col min="9" max="9" width="14" bestFit="1" customWidth="1"/>
    <col min="10" max="10" width="20.28515625" bestFit="1" customWidth="1"/>
    <col min="11" max="11" width="16.28515625" bestFit="1" customWidth="1"/>
    <col min="12" max="12" width="5.5703125" bestFit="1" customWidth="1"/>
    <col min="13" max="13" width="3.85546875" bestFit="1" customWidth="1"/>
    <col min="14" max="14" width="7.140625" bestFit="1" customWidth="1"/>
    <col min="15" max="15" width="5.7109375" bestFit="1" customWidth="1"/>
  </cols>
  <sheetData>
    <row r="1" spans="1:12" x14ac:dyDescent="0.25">
      <c r="A1" s="14" t="s">
        <v>400</v>
      </c>
      <c r="B1" s="14" t="s">
        <v>401</v>
      </c>
      <c r="D1" t="s">
        <v>403</v>
      </c>
      <c r="F1" s="14" t="s">
        <v>11</v>
      </c>
      <c r="G1" t="s">
        <v>400</v>
      </c>
      <c r="J1" s="14" t="s">
        <v>400</v>
      </c>
      <c r="K1" s="14" t="s">
        <v>401</v>
      </c>
    </row>
    <row r="2" spans="1:12" x14ac:dyDescent="0.25">
      <c r="A2" s="14" t="s">
        <v>11</v>
      </c>
      <c r="B2" t="s">
        <v>22</v>
      </c>
      <c r="C2" t="s">
        <v>27</v>
      </c>
      <c r="F2" s="15" t="s">
        <v>424</v>
      </c>
      <c r="G2" s="20">
        <v>27</v>
      </c>
      <c r="J2" s="14" t="s">
        <v>11</v>
      </c>
      <c r="K2" t="s">
        <v>31</v>
      </c>
      <c r="L2" t="s">
        <v>19</v>
      </c>
    </row>
    <row r="3" spans="1:12" x14ac:dyDescent="0.25">
      <c r="A3" s="15" t="s">
        <v>354</v>
      </c>
      <c r="B3" s="20">
        <v>8</v>
      </c>
      <c r="C3" s="20">
        <v>2</v>
      </c>
      <c r="F3" s="15" t="s">
        <v>423</v>
      </c>
      <c r="G3" s="20">
        <v>23</v>
      </c>
      <c r="J3" s="15" t="s">
        <v>354</v>
      </c>
      <c r="K3" s="20">
        <v>5</v>
      </c>
      <c r="L3" s="20">
        <v>5</v>
      </c>
    </row>
    <row r="4" spans="1:12" x14ac:dyDescent="0.25">
      <c r="A4" s="15" t="s">
        <v>397</v>
      </c>
      <c r="B4" s="20">
        <v>7</v>
      </c>
      <c r="C4" s="20">
        <v>3</v>
      </c>
      <c r="J4" s="15" t="s">
        <v>397</v>
      </c>
      <c r="K4" s="20">
        <v>1</v>
      </c>
      <c r="L4" s="20">
        <v>9</v>
      </c>
    </row>
    <row r="5" spans="1:12" x14ac:dyDescent="0.25">
      <c r="A5" s="15" t="s">
        <v>398</v>
      </c>
      <c r="B5" s="20">
        <v>9</v>
      </c>
      <c r="C5" s="20">
        <v>1</v>
      </c>
      <c r="J5" s="15" t="s">
        <v>398</v>
      </c>
      <c r="K5" s="20">
        <v>3</v>
      </c>
      <c r="L5" s="20">
        <v>7</v>
      </c>
    </row>
    <row r="6" spans="1:12" x14ac:dyDescent="0.25">
      <c r="A6" s="15" t="s">
        <v>363</v>
      </c>
      <c r="B6" s="20">
        <v>6</v>
      </c>
      <c r="C6" s="20">
        <v>4</v>
      </c>
      <c r="J6" s="15" t="s">
        <v>363</v>
      </c>
      <c r="K6" s="20">
        <v>1</v>
      </c>
      <c r="L6" s="20">
        <v>9</v>
      </c>
    </row>
    <row r="7" spans="1:12" x14ac:dyDescent="0.25">
      <c r="A7" s="15" t="s">
        <v>353</v>
      </c>
      <c r="B7" s="20">
        <v>8</v>
      </c>
      <c r="C7" s="20">
        <v>2</v>
      </c>
      <c r="J7" s="15" t="s">
        <v>353</v>
      </c>
      <c r="K7" s="20">
        <v>2</v>
      </c>
      <c r="L7" s="20">
        <v>8</v>
      </c>
    </row>
    <row r="23" spans="1:15" x14ac:dyDescent="0.25">
      <c r="F23" s="14" t="s">
        <v>11</v>
      </c>
      <c r="G23" t="s">
        <v>400</v>
      </c>
    </row>
    <row r="24" spans="1:15" x14ac:dyDescent="0.25">
      <c r="F24" s="15" t="s">
        <v>383</v>
      </c>
      <c r="G24" s="20">
        <v>25</v>
      </c>
      <c r="J24" s="14" t="s">
        <v>400</v>
      </c>
      <c r="K24" s="14" t="s">
        <v>401</v>
      </c>
    </row>
    <row r="25" spans="1:15" x14ac:dyDescent="0.25">
      <c r="F25" s="15" t="s">
        <v>384</v>
      </c>
      <c r="G25" s="20">
        <v>17</v>
      </c>
      <c r="J25" s="14" t="s">
        <v>11</v>
      </c>
      <c r="K25" t="s">
        <v>354</v>
      </c>
      <c r="L25" t="s">
        <v>397</v>
      </c>
      <c r="M25" t="s">
        <v>398</v>
      </c>
      <c r="N25" t="s">
        <v>363</v>
      </c>
      <c r="O25" t="s">
        <v>353</v>
      </c>
    </row>
    <row r="26" spans="1:15" x14ac:dyDescent="0.25">
      <c r="A26" s="14" t="s">
        <v>404</v>
      </c>
      <c r="B26" t="s">
        <v>400</v>
      </c>
      <c r="F26" s="15" t="s">
        <v>385</v>
      </c>
      <c r="G26" s="20">
        <v>8</v>
      </c>
      <c r="J26" s="15" t="s">
        <v>21</v>
      </c>
      <c r="K26" s="20">
        <v>3</v>
      </c>
      <c r="L26" s="20">
        <v>3</v>
      </c>
      <c r="M26" s="20">
        <v>4</v>
      </c>
      <c r="N26" s="20"/>
      <c r="O26" s="20">
        <v>1</v>
      </c>
    </row>
    <row r="27" spans="1:15" x14ac:dyDescent="0.25">
      <c r="A27" s="15" t="s">
        <v>21</v>
      </c>
      <c r="B27" s="20">
        <v>11</v>
      </c>
      <c r="J27" s="15" t="s">
        <v>32</v>
      </c>
      <c r="K27" s="20">
        <v>2</v>
      </c>
      <c r="L27" s="20">
        <v>2</v>
      </c>
      <c r="M27" s="20">
        <v>3</v>
      </c>
      <c r="N27" s="20">
        <v>3</v>
      </c>
      <c r="O27" s="20">
        <v>2</v>
      </c>
    </row>
    <row r="28" spans="1:15" x14ac:dyDescent="0.25">
      <c r="A28" s="15" t="s">
        <v>32</v>
      </c>
      <c r="B28" s="20">
        <v>12</v>
      </c>
      <c r="J28" s="15" t="s">
        <v>29</v>
      </c>
      <c r="K28" s="20">
        <v>2</v>
      </c>
      <c r="L28" s="20">
        <v>1</v>
      </c>
      <c r="M28" s="20">
        <v>1</v>
      </c>
      <c r="N28" s="20">
        <v>2</v>
      </c>
      <c r="O28" s="20">
        <v>4</v>
      </c>
    </row>
    <row r="29" spans="1:15" x14ac:dyDescent="0.25">
      <c r="A29" s="15" t="s">
        <v>29</v>
      </c>
      <c r="B29" s="20">
        <v>10</v>
      </c>
      <c r="J29" s="15" t="s">
        <v>405</v>
      </c>
      <c r="K29" s="20">
        <v>2</v>
      </c>
      <c r="L29" s="20">
        <v>1</v>
      </c>
      <c r="M29" s="20"/>
      <c r="N29" s="20">
        <v>2</v>
      </c>
      <c r="O29" s="20">
        <v>2</v>
      </c>
    </row>
    <row r="30" spans="1:15" x14ac:dyDescent="0.25">
      <c r="A30" s="15" t="s">
        <v>26</v>
      </c>
      <c r="B30" s="20">
        <v>10</v>
      </c>
      <c r="J30" s="15" t="s">
        <v>26</v>
      </c>
      <c r="K30" s="20">
        <v>1</v>
      </c>
      <c r="L30" s="20">
        <v>3</v>
      </c>
      <c r="M30" s="20">
        <v>2</v>
      </c>
      <c r="N30" s="20">
        <v>3</v>
      </c>
      <c r="O30" s="20">
        <v>1</v>
      </c>
    </row>
    <row r="31" spans="1:15" x14ac:dyDescent="0.25">
      <c r="A31" s="15" t="s">
        <v>405</v>
      </c>
      <c r="B31" s="20">
        <v>7</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CE03-73E3-4A6F-923B-EA01EF7737E3}">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DC359-BA43-4FB0-8402-132E915173E2}">
  <dimension ref="A1"/>
  <sheetViews>
    <sheetView showGridLines="0" showRowColHeaders="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EFD1-498C-4B3A-A96D-129612A1C1F2}">
  <dimension ref="A1:O51"/>
  <sheetViews>
    <sheetView workbookViewId="0">
      <pane xSplit="2" ySplit="1" topLeftCell="C11" activePane="bottomRight" state="frozen"/>
      <selection activeCell="C2" sqref="C2"/>
      <selection pane="topRight" activeCell="C2" sqref="C2"/>
      <selection pane="bottomLeft" activeCell="C2" sqref="C2"/>
      <selection pane="bottomRight" activeCell="C2" sqref="C2"/>
    </sheetView>
  </sheetViews>
  <sheetFormatPr defaultRowHeight="12.75" x14ac:dyDescent="0.2"/>
  <cols>
    <col min="1" max="1" width="9.140625" style="7"/>
    <col min="2" max="2" width="14.140625" style="7" customWidth="1"/>
    <col min="3" max="3" width="16.5703125" style="7" customWidth="1"/>
    <col min="4" max="4" width="16.7109375" style="7" customWidth="1"/>
    <col min="5" max="5" width="14" style="7" customWidth="1"/>
    <col min="6" max="7" width="20.28515625" style="7" customWidth="1"/>
    <col min="8" max="14" width="18.7109375" style="7" customWidth="1"/>
    <col min="15" max="15" width="18.7109375" style="11" customWidth="1"/>
    <col min="16" max="16" width="18.7109375" style="7" customWidth="1"/>
    <col min="17" max="23" width="18.85546875" style="7" customWidth="1"/>
    <col min="24" max="25" width="14" style="7" customWidth="1"/>
    <col min="26" max="16384" width="9.140625" style="7"/>
  </cols>
  <sheetData>
    <row r="1" spans="1:15" s="6" customFormat="1" ht="32.25" customHeight="1" x14ac:dyDescent="0.2">
      <c r="A1" s="2" t="s">
        <v>0</v>
      </c>
      <c r="B1" s="2" t="s">
        <v>1</v>
      </c>
      <c r="C1" s="9" t="s">
        <v>7</v>
      </c>
      <c r="D1" s="2" t="s">
        <v>8</v>
      </c>
      <c r="E1" s="2" t="s">
        <v>13</v>
      </c>
      <c r="F1" s="2" t="s">
        <v>10</v>
      </c>
      <c r="G1" s="2" t="s">
        <v>11</v>
      </c>
      <c r="H1" s="2" t="s">
        <v>374</v>
      </c>
      <c r="I1" s="2" t="s">
        <v>375</v>
      </c>
      <c r="J1" s="2" t="s">
        <v>378</v>
      </c>
      <c r="K1" s="2" t="s">
        <v>376</v>
      </c>
      <c r="L1" s="2" t="s">
        <v>377</v>
      </c>
      <c r="M1" s="2" t="s">
        <v>351</v>
      </c>
      <c r="N1" s="2" t="s">
        <v>131</v>
      </c>
      <c r="O1" s="10" t="s">
        <v>132</v>
      </c>
    </row>
    <row r="2" spans="1:15" x14ac:dyDescent="0.2">
      <c r="A2" s="7">
        <v>1</v>
      </c>
      <c r="B2" s="7" t="s">
        <v>18</v>
      </c>
      <c r="C2" s="8">
        <v>44593</v>
      </c>
      <c r="D2" s="8"/>
      <c r="E2" s="7" t="s">
        <v>22</v>
      </c>
      <c r="F2" s="8" t="s">
        <v>356</v>
      </c>
      <c r="G2" s="7" t="s">
        <v>398</v>
      </c>
      <c r="H2" s="11">
        <f>ROUND(N2/2,0)</f>
        <v>77084</v>
      </c>
      <c r="I2" s="11">
        <f>ROUND(H2*40%,0)</f>
        <v>30834</v>
      </c>
      <c r="J2" s="11">
        <f>N2-H2-I2-K2-L2-M2</f>
        <v>33999</v>
      </c>
      <c r="K2" s="11">
        <v>2000</v>
      </c>
      <c r="L2" s="11">
        <v>1000</v>
      </c>
      <c r="M2" s="11">
        <f>ROUND(H2*12%,0)</f>
        <v>9250</v>
      </c>
      <c r="N2" s="11">
        <f>ROUND(O2/12,0)</f>
        <v>154167</v>
      </c>
      <c r="O2" s="11">
        <v>1850000</v>
      </c>
    </row>
    <row r="3" spans="1:15" x14ac:dyDescent="0.2">
      <c r="A3" s="7">
        <v>2</v>
      </c>
      <c r="B3" s="7" t="s">
        <v>24</v>
      </c>
      <c r="C3" s="8">
        <v>44613</v>
      </c>
      <c r="D3" s="8"/>
      <c r="E3" s="7" t="s">
        <v>22</v>
      </c>
      <c r="F3" s="8" t="s">
        <v>355</v>
      </c>
      <c r="G3" s="7" t="s">
        <v>354</v>
      </c>
      <c r="H3" s="11">
        <f t="shared" ref="H3:H51" si="0">ROUND(N3/2,0)</f>
        <v>104167</v>
      </c>
      <c r="I3" s="11">
        <f t="shared" ref="I3:I51" si="1">ROUND(H3*40%,0)</f>
        <v>41667</v>
      </c>
      <c r="J3" s="11">
        <f t="shared" ref="J3:J51" si="2">N3-H3-I3-K3-L3-M3</f>
        <v>49999</v>
      </c>
      <c r="K3" s="11"/>
      <c r="L3" s="11"/>
      <c r="M3" s="11">
        <f t="shared" ref="M3:M51" si="3">ROUND(H3*12%,0)</f>
        <v>12500</v>
      </c>
      <c r="N3" s="11">
        <f t="shared" ref="N3:N51" si="4">ROUND(O3/12,0)</f>
        <v>208333</v>
      </c>
      <c r="O3" s="11">
        <v>2500000</v>
      </c>
    </row>
    <row r="4" spans="1:15" x14ac:dyDescent="0.2">
      <c r="A4" s="7">
        <v>3</v>
      </c>
      <c r="B4" s="7" t="s">
        <v>28</v>
      </c>
      <c r="C4" s="8">
        <v>44634</v>
      </c>
      <c r="D4" s="8"/>
      <c r="E4" s="7" t="s">
        <v>22</v>
      </c>
      <c r="F4" s="8" t="s">
        <v>356</v>
      </c>
      <c r="G4" s="7" t="s">
        <v>398</v>
      </c>
      <c r="H4" s="11">
        <f t="shared" si="0"/>
        <v>72917</v>
      </c>
      <c r="I4" s="11">
        <f t="shared" si="1"/>
        <v>29167</v>
      </c>
      <c r="J4" s="11">
        <f t="shared" si="2"/>
        <v>31999</v>
      </c>
      <c r="K4" s="11">
        <v>2000</v>
      </c>
      <c r="L4" s="11">
        <v>1000</v>
      </c>
      <c r="M4" s="11">
        <f t="shared" si="3"/>
        <v>8750</v>
      </c>
      <c r="N4" s="11">
        <f t="shared" si="4"/>
        <v>145833</v>
      </c>
      <c r="O4" s="11">
        <v>1750000</v>
      </c>
    </row>
    <row r="5" spans="1:15" x14ac:dyDescent="0.2">
      <c r="A5" s="7">
        <v>4</v>
      </c>
      <c r="B5" s="7" t="s">
        <v>30</v>
      </c>
      <c r="C5" s="8">
        <v>44676</v>
      </c>
      <c r="D5" s="8">
        <v>45886</v>
      </c>
      <c r="E5" s="7" t="s">
        <v>27</v>
      </c>
      <c r="F5" s="8" t="s">
        <v>362</v>
      </c>
      <c r="G5" s="7" t="s">
        <v>354</v>
      </c>
      <c r="H5" s="11">
        <f t="shared" si="0"/>
        <v>56250</v>
      </c>
      <c r="I5" s="11">
        <f t="shared" si="1"/>
        <v>22500</v>
      </c>
      <c r="J5" s="11">
        <f t="shared" si="2"/>
        <v>24000</v>
      </c>
      <c r="K5" s="11">
        <v>2000</v>
      </c>
      <c r="L5" s="11">
        <v>1000</v>
      </c>
      <c r="M5" s="11">
        <f t="shared" si="3"/>
        <v>6750</v>
      </c>
      <c r="N5" s="11">
        <f t="shared" si="4"/>
        <v>112500</v>
      </c>
      <c r="O5" s="11">
        <v>1350000</v>
      </c>
    </row>
    <row r="6" spans="1:15" x14ac:dyDescent="0.2">
      <c r="A6" s="7">
        <v>5</v>
      </c>
      <c r="B6" s="7" t="s">
        <v>34</v>
      </c>
      <c r="C6" s="8">
        <v>44697</v>
      </c>
      <c r="D6" s="8"/>
      <c r="E6" s="7" t="s">
        <v>22</v>
      </c>
      <c r="F6" s="8" t="s">
        <v>360</v>
      </c>
      <c r="G6" s="7" t="s">
        <v>363</v>
      </c>
      <c r="H6" s="11">
        <f t="shared" si="0"/>
        <v>70834</v>
      </c>
      <c r="I6" s="11">
        <f t="shared" si="1"/>
        <v>28334</v>
      </c>
      <c r="J6" s="11">
        <f t="shared" si="2"/>
        <v>30999</v>
      </c>
      <c r="K6" s="11">
        <v>2000</v>
      </c>
      <c r="L6" s="11">
        <v>1000</v>
      </c>
      <c r="M6" s="11">
        <f t="shared" si="3"/>
        <v>8500</v>
      </c>
      <c r="N6" s="11">
        <f t="shared" si="4"/>
        <v>141667</v>
      </c>
      <c r="O6" s="11">
        <v>1700000</v>
      </c>
    </row>
    <row r="7" spans="1:15" x14ac:dyDescent="0.2">
      <c r="A7" s="7">
        <v>6</v>
      </c>
      <c r="B7" s="7" t="s">
        <v>35</v>
      </c>
      <c r="C7" s="8">
        <v>44704</v>
      </c>
      <c r="D7" s="8"/>
      <c r="E7" s="7" t="s">
        <v>22</v>
      </c>
      <c r="F7" s="8" t="s">
        <v>369</v>
      </c>
      <c r="G7" s="7" t="s">
        <v>363</v>
      </c>
      <c r="H7" s="11">
        <f t="shared" si="0"/>
        <v>41667</v>
      </c>
      <c r="I7" s="11">
        <f t="shared" si="1"/>
        <v>16667</v>
      </c>
      <c r="J7" s="11">
        <f t="shared" si="2"/>
        <v>16999</v>
      </c>
      <c r="K7" s="11">
        <v>2000</v>
      </c>
      <c r="L7" s="11">
        <v>1000</v>
      </c>
      <c r="M7" s="11">
        <f t="shared" si="3"/>
        <v>5000</v>
      </c>
      <c r="N7" s="11">
        <f t="shared" si="4"/>
        <v>83333</v>
      </c>
      <c r="O7" s="11">
        <v>1000000</v>
      </c>
    </row>
    <row r="8" spans="1:15" x14ac:dyDescent="0.2">
      <c r="A8" s="7">
        <v>7</v>
      </c>
      <c r="B8" s="7" t="s">
        <v>36</v>
      </c>
      <c r="C8" s="8">
        <v>44802</v>
      </c>
      <c r="D8" s="8">
        <v>45951</v>
      </c>
      <c r="E8" s="7" t="s">
        <v>27</v>
      </c>
      <c r="F8" s="8" t="s">
        <v>369</v>
      </c>
      <c r="G8" s="7" t="s">
        <v>363</v>
      </c>
      <c r="H8" s="11">
        <f t="shared" si="0"/>
        <v>39584</v>
      </c>
      <c r="I8" s="11">
        <f t="shared" si="1"/>
        <v>15834</v>
      </c>
      <c r="J8" s="11">
        <f t="shared" si="2"/>
        <v>15999</v>
      </c>
      <c r="K8" s="11">
        <v>2000</v>
      </c>
      <c r="L8" s="11">
        <v>1000</v>
      </c>
      <c r="M8" s="11">
        <f t="shared" si="3"/>
        <v>4750</v>
      </c>
      <c r="N8" s="11">
        <f t="shared" si="4"/>
        <v>79167</v>
      </c>
      <c r="O8" s="11">
        <v>950000</v>
      </c>
    </row>
    <row r="9" spans="1:15" x14ac:dyDescent="0.2">
      <c r="A9" s="7">
        <v>8</v>
      </c>
      <c r="B9" s="7" t="s">
        <v>37</v>
      </c>
      <c r="C9" s="8">
        <v>44886</v>
      </c>
      <c r="D9" s="8"/>
      <c r="E9" s="7" t="s">
        <v>22</v>
      </c>
      <c r="F9" s="8" t="s">
        <v>361</v>
      </c>
      <c r="G9" s="7" t="s">
        <v>353</v>
      </c>
      <c r="H9" s="11">
        <f t="shared" si="0"/>
        <v>87500</v>
      </c>
      <c r="I9" s="11">
        <f t="shared" si="1"/>
        <v>35000</v>
      </c>
      <c r="J9" s="11">
        <f t="shared" si="2"/>
        <v>39000</v>
      </c>
      <c r="K9" s="11">
        <v>2000</v>
      </c>
      <c r="L9" s="11">
        <v>1000</v>
      </c>
      <c r="M9" s="11">
        <f t="shared" si="3"/>
        <v>10500</v>
      </c>
      <c r="N9" s="11">
        <f t="shared" si="4"/>
        <v>175000</v>
      </c>
      <c r="O9" s="11">
        <v>2100000</v>
      </c>
    </row>
    <row r="10" spans="1:15" x14ac:dyDescent="0.2">
      <c r="A10" s="7">
        <v>9</v>
      </c>
      <c r="B10" s="7" t="s">
        <v>38</v>
      </c>
      <c r="C10" s="8">
        <v>44893</v>
      </c>
      <c r="D10" s="8"/>
      <c r="E10" s="7" t="s">
        <v>22</v>
      </c>
      <c r="F10" s="8" t="s">
        <v>373</v>
      </c>
      <c r="G10" s="7" t="s">
        <v>353</v>
      </c>
      <c r="H10" s="11">
        <f t="shared" si="0"/>
        <v>75000</v>
      </c>
      <c r="I10" s="11">
        <f t="shared" si="1"/>
        <v>30000</v>
      </c>
      <c r="J10" s="11">
        <f t="shared" si="2"/>
        <v>33000</v>
      </c>
      <c r="K10" s="11">
        <v>2000</v>
      </c>
      <c r="L10" s="11">
        <v>1000</v>
      </c>
      <c r="M10" s="11">
        <f t="shared" si="3"/>
        <v>9000</v>
      </c>
      <c r="N10" s="11">
        <f t="shared" si="4"/>
        <v>150000</v>
      </c>
      <c r="O10" s="11">
        <v>1800000</v>
      </c>
    </row>
    <row r="11" spans="1:15" x14ac:dyDescent="0.2">
      <c r="A11" s="7">
        <v>10</v>
      </c>
      <c r="B11" s="7" t="s">
        <v>40</v>
      </c>
      <c r="C11" s="8">
        <v>44907</v>
      </c>
      <c r="D11" s="8"/>
      <c r="E11" s="7" t="s">
        <v>22</v>
      </c>
      <c r="F11" s="8" t="s">
        <v>358</v>
      </c>
      <c r="G11" s="7" t="s">
        <v>397</v>
      </c>
      <c r="H11" s="11">
        <f t="shared" si="0"/>
        <v>72917</v>
      </c>
      <c r="I11" s="11">
        <f t="shared" si="1"/>
        <v>29167</v>
      </c>
      <c r="J11" s="11">
        <f t="shared" si="2"/>
        <v>31999</v>
      </c>
      <c r="K11" s="11">
        <v>2000</v>
      </c>
      <c r="L11" s="11">
        <v>1000</v>
      </c>
      <c r="M11" s="11">
        <f t="shared" si="3"/>
        <v>8750</v>
      </c>
      <c r="N11" s="11">
        <f t="shared" si="4"/>
        <v>145833</v>
      </c>
      <c r="O11" s="11">
        <v>1750000</v>
      </c>
    </row>
    <row r="12" spans="1:15" x14ac:dyDescent="0.2">
      <c r="A12" s="7">
        <v>11</v>
      </c>
      <c r="B12" s="7" t="s">
        <v>42</v>
      </c>
      <c r="C12" s="8">
        <v>44935</v>
      </c>
      <c r="D12" s="8">
        <v>45979</v>
      </c>
      <c r="E12" s="7" t="s">
        <v>27</v>
      </c>
      <c r="F12" s="8" t="s">
        <v>373</v>
      </c>
      <c r="G12" s="7" t="s">
        <v>353</v>
      </c>
      <c r="H12" s="11">
        <f t="shared" si="0"/>
        <v>75000</v>
      </c>
      <c r="I12" s="11">
        <f t="shared" si="1"/>
        <v>30000</v>
      </c>
      <c r="J12" s="11">
        <f t="shared" si="2"/>
        <v>33000</v>
      </c>
      <c r="K12" s="11">
        <v>2000</v>
      </c>
      <c r="L12" s="11">
        <v>1000</v>
      </c>
      <c r="M12" s="11">
        <f t="shared" si="3"/>
        <v>9000</v>
      </c>
      <c r="N12" s="11">
        <f t="shared" si="4"/>
        <v>150000</v>
      </c>
      <c r="O12" s="11">
        <v>1800000</v>
      </c>
    </row>
    <row r="13" spans="1:15" x14ac:dyDescent="0.2">
      <c r="A13" s="7">
        <v>12</v>
      </c>
      <c r="B13" s="7" t="s">
        <v>43</v>
      </c>
      <c r="C13" s="8">
        <v>44956</v>
      </c>
      <c r="D13" s="8"/>
      <c r="E13" s="7" t="s">
        <v>22</v>
      </c>
      <c r="F13" s="8" t="s">
        <v>382</v>
      </c>
      <c r="G13" s="7" t="s">
        <v>353</v>
      </c>
      <c r="H13" s="11">
        <f t="shared" si="0"/>
        <v>47917</v>
      </c>
      <c r="I13" s="11">
        <f t="shared" si="1"/>
        <v>19167</v>
      </c>
      <c r="J13" s="11">
        <f t="shared" si="2"/>
        <v>19999</v>
      </c>
      <c r="K13" s="11">
        <v>2000</v>
      </c>
      <c r="L13" s="11">
        <v>1000</v>
      </c>
      <c r="M13" s="11">
        <f t="shared" si="3"/>
        <v>5750</v>
      </c>
      <c r="N13" s="11">
        <f t="shared" si="4"/>
        <v>95833</v>
      </c>
      <c r="O13" s="11">
        <v>1150000</v>
      </c>
    </row>
    <row r="14" spans="1:15" x14ac:dyDescent="0.2">
      <c r="A14" s="7">
        <v>13</v>
      </c>
      <c r="B14" s="7" t="s">
        <v>45</v>
      </c>
      <c r="C14" s="8">
        <v>44963</v>
      </c>
      <c r="D14" s="8"/>
      <c r="E14" s="7" t="s">
        <v>22</v>
      </c>
      <c r="F14" s="8" t="s">
        <v>357</v>
      </c>
      <c r="G14" s="7" t="s">
        <v>354</v>
      </c>
      <c r="H14" s="11">
        <f t="shared" si="0"/>
        <v>64584</v>
      </c>
      <c r="I14" s="11">
        <f t="shared" si="1"/>
        <v>25834</v>
      </c>
      <c r="J14" s="11">
        <f t="shared" si="2"/>
        <v>27999</v>
      </c>
      <c r="K14" s="11">
        <v>2000</v>
      </c>
      <c r="L14" s="11">
        <v>1000</v>
      </c>
      <c r="M14" s="11">
        <f t="shared" si="3"/>
        <v>7750</v>
      </c>
      <c r="N14" s="11">
        <f t="shared" si="4"/>
        <v>129167</v>
      </c>
      <c r="O14" s="11">
        <v>1550000</v>
      </c>
    </row>
    <row r="15" spans="1:15" x14ac:dyDescent="0.2">
      <c r="A15" s="7">
        <v>14</v>
      </c>
      <c r="B15" s="7" t="s">
        <v>46</v>
      </c>
      <c r="C15" s="8">
        <v>45005</v>
      </c>
      <c r="D15" s="8">
        <v>45919</v>
      </c>
      <c r="E15" s="7" t="s">
        <v>27</v>
      </c>
      <c r="F15" s="8" t="s">
        <v>370</v>
      </c>
      <c r="G15" s="7" t="s">
        <v>363</v>
      </c>
      <c r="H15" s="11">
        <f t="shared" si="0"/>
        <v>27084</v>
      </c>
      <c r="I15" s="11">
        <f t="shared" si="1"/>
        <v>10834</v>
      </c>
      <c r="J15" s="11">
        <f t="shared" si="2"/>
        <v>12999</v>
      </c>
      <c r="K15" s="11"/>
      <c r="L15" s="11"/>
      <c r="M15" s="11">
        <f t="shared" si="3"/>
        <v>3250</v>
      </c>
      <c r="N15" s="11">
        <f t="shared" si="4"/>
        <v>54167</v>
      </c>
      <c r="O15" s="11">
        <v>650000</v>
      </c>
    </row>
    <row r="16" spans="1:15" x14ac:dyDescent="0.2">
      <c r="A16" s="7">
        <v>15</v>
      </c>
      <c r="B16" s="7" t="s">
        <v>48</v>
      </c>
      <c r="C16" s="8">
        <v>45033</v>
      </c>
      <c r="D16" s="8"/>
      <c r="E16" s="7" t="s">
        <v>22</v>
      </c>
      <c r="F16" s="8" t="s">
        <v>357</v>
      </c>
      <c r="G16" s="7" t="s">
        <v>354</v>
      </c>
      <c r="H16" s="11">
        <f t="shared" si="0"/>
        <v>61459</v>
      </c>
      <c r="I16" s="11">
        <f t="shared" si="1"/>
        <v>24584</v>
      </c>
      <c r="J16" s="11">
        <f t="shared" si="2"/>
        <v>26499</v>
      </c>
      <c r="K16" s="11">
        <v>2000</v>
      </c>
      <c r="L16" s="11">
        <v>1000</v>
      </c>
      <c r="M16" s="11">
        <f t="shared" si="3"/>
        <v>7375</v>
      </c>
      <c r="N16" s="11">
        <f t="shared" si="4"/>
        <v>122917</v>
      </c>
      <c r="O16" s="11">
        <v>1475000</v>
      </c>
    </row>
    <row r="17" spans="1:15" x14ac:dyDescent="0.2">
      <c r="A17" s="7">
        <v>16</v>
      </c>
      <c r="B17" s="7" t="s">
        <v>49</v>
      </c>
      <c r="C17" s="8">
        <v>45040</v>
      </c>
      <c r="D17" s="8"/>
      <c r="E17" s="7" t="s">
        <v>22</v>
      </c>
      <c r="F17" s="8" t="s">
        <v>357</v>
      </c>
      <c r="G17" s="7" t="s">
        <v>354</v>
      </c>
      <c r="H17" s="11">
        <f t="shared" si="0"/>
        <v>78125</v>
      </c>
      <c r="I17" s="11">
        <f t="shared" si="1"/>
        <v>31250</v>
      </c>
      <c r="J17" s="11">
        <f t="shared" si="2"/>
        <v>34500</v>
      </c>
      <c r="K17" s="11">
        <v>2000</v>
      </c>
      <c r="L17" s="11">
        <v>1000</v>
      </c>
      <c r="M17" s="11">
        <f t="shared" si="3"/>
        <v>9375</v>
      </c>
      <c r="N17" s="11">
        <f t="shared" si="4"/>
        <v>156250</v>
      </c>
      <c r="O17" s="11">
        <v>1875000</v>
      </c>
    </row>
    <row r="18" spans="1:15" x14ac:dyDescent="0.2">
      <c r="A18" s="7">
        <v>17</v>
      </c>
      <c r="B18" s="7" t="s">
        <v>50</v>
      </c>
      <c r="C18" s="8">
        <v>45048</v>
      </c>
      <c r="D18" s="8">
        <v>46055</v>
      </c>
      <c r="E18" s="7" t="s">
        <v>27</v>
      </c>
      <c r="F18" s="8" t="s">
        <v>380</v>
      </c>
      <c r="G18" s="7" t="s">
        <v>397</v>
      </c>
      <c r="H18" s="11">
        <f t="shared" si="0"/>
        <v>47917</v>
      </c>
      <c r="I18" s="11">
        <f t="shared" si="1"/>
        <v>19167</v>
      </c>
      <c r="J18" s="11">
        <f t="shared" si="2"/>
        <v>19999</v>
      </c>
      <c r="K18" s="11">
        <v>2000</v>
      </c>
      <c r="L18" s="11">
        <v>1000</v>
      </c>
      <c r="M18" s="11">
        <f t="shared" si="3"/>
        <v>5750</v>
      </c>
      <c r="N18" s="11">
        <f t="shared" si="4"/>
        <v>95833</v>
      </c>
      <c r="O18" s="11">
        <v>1150000</v>
      </c>
    </row>
    <row r="19" spans="1:15" x14ac:dyDescent="0.2">
      <c r="A19" s="7">
        <v>18</v>
      </c>
      <c r="B19" s="7" t="s">
        <v>51</v>
      </c>
      <c r="C19" s="8">
        <v>45075</v>
      </c>
      <c r="D19" s="8"/>
      <c r="E19" s="7" t="s">
        <v>22</v>
      </c>
      <c r="F19" s="8" t="s">
        <v>380</v>
      </c>
      <c r="G19" s="7" t="s">
        <v>397</v>
      </c>
      <c r="H19" s="11">
        <f t="shared" si="0"/>
        <v>46875</v>
      </c>
      <c r="I19" s="11">
        <f t="shared" si="1"/>
        <v>18750</v>
      </c>
      <c r="J19" s="11">
        <f t="shared" si="2"/>
        <v>19500</v>
      </c>
      <c r="K19" s="11">
        <v>2000</v>
      </c>
      <c r="L19" s="11">
        <v>1000</v>
      </c>
      <c r="M19" s="11">
        <f t="shared" si="3"/>
        <v>5625</v>
      </c>
      <c r="N19" s="11">
        <f t="shared" si="4"/>
        <v>93750</v>
      </c>
      <c r="O19" s="11">
        <v>1125000</v>
      </c>
    </row>
    <row r="20" spans="1:15" x14ac:dyDescent="0.2">
      <c r="A20" s="7">
        <v>19</v>
      </c>
      <c r="B20" s="7" t="s">
        <v>52</v>
      </c>
      <c r="C20" s="8">
        <v>45170</v>
      </c>
      <c r="D20" s="8"/>
      <c r="E20" s="7" t="s">
        <v>22</v>
      </c>
      <c r="F20" s="8" t="s">
        <v>382</v>
      </c>
      <c r="G20" s="7" t="s">
        <v>353</v>
      </c>
      <c r="H20" s="11">
        <f t="shared" si="0"/>
        <v>45834</v>
      </c>
      <c r="I20" s="11">
        <f t="shared" si="1"/>
        <v>18334</v>
      </c>
      <c r="J20" s="11">
        <f t="shared" si="2"/>
        <v>18999</v>
      </c>
      <c r="K20" s="11">
        <v>2000</v>
      </c>
      <c r="L20" s="11">
        <v>1000</v>
      </c>
      <c r="M20" s="11">
        <f t="shared" si="3"/>
        <v>5500</v>
      </c>
      <c r="N20" s="11">
        <f t="shared" si="4"/>
        <v>91667</v>
      </c>
      <c r="O20" s="11">
        <v>1100000</v>
      </c>
    </row>
    <row r="21" spans="1:15" x14ac:dyDescent="0.2">
      <c r="A21" s="7">
        <v>20</v>
      </c>
      <c r="B21" s="7" t="s">
        <v>53</v>
      </c>
      <c r="C21" s="8">
        <v>45173</v>
      </c>
      <c r="D21" s="8"/>
      <c r="E21" s="7" t="s">
        <v>22</v>
      </c>
      <c r="F21" s="8" t="s">
        <v>372</v>
      </c>
      <c r="G21" s="7" t="s">
        <v>353</v>
      </c>
      <c r="H21" s="11">
        <f t="shared" si="0"/>
        <v>32500</v>
      </c>
      <c r="I21" s="11">
        <f t="shared" si="1"/>
        <v>13000</v>
      </c>
      <c r="J21" s="11">
        <f t="shared" si="2"/>
        <v>15600</v>
      </c>
      <c r="K21" s="11"/>
      <c r="L21" s="11"/>
      <c r="M21" s="11">
        <f t="shared" si="3"/>
        <v>3900</v>
      </c>
      <c r="N21" s="11">
        <f t="shared" si="4"/>
        <v>65000</v>
      </c>
      <c r="O21" s="11">
        <v>780000</v>
      </c>
    </row>
    <row r="22" spans="1:15" x14ac:dyDescent="0.2">
      <c r="A22" s="7">
        <v>21</v>
      </c>
      <c r="B22" s="7" t="s">
        <v>55</v>
      </c>
      <c r="C22" s="8">
        <v>45222</v>
      </c>
      <c r="D22" s="8">
        <v>45950</v>
      </c>
      <c r="E22" s="7" t="s">
        <v>27</v>
      </c>
      <c r="F22" s="8" t="s">
        <v>370</v>
      </c>
      <c r="G22" s="7" t="s">
        <v>363</v>
      </c>
      <c r="H22" s="11">
        <f t="shared" si="0"/>
        <v>28125</v>
      </c>
      <c r="I22" s="11">
        <f t="shared" si="1"/>
        <v>11250</v>
      </c>
      <c r="J22" s="11">
        <f t="shared" si="2"/>
        <v>13500</v>
      </c>
      <c r="K22" s="11"/>
      <c r="L22" s="11"/>
      <c r="M22" s="11">
        <f t="shared" si="3"/>
        <v>3375</v>
      </c>
      <c r="N22" s="11">
        <f t="shared" si="4"/>
        <v>56250</v>
      </c>
      <c r="O22" s="11">
        <v>675000</v>
      </c>
    </row>
    <row r="23" spans="1:15" x14ac:dyDescent="0.2">
      <c r="A23" s="7">
        <v>22</v>
      </c>
      <c r="B23" s="7" t="s">
        <v>56</v>
      </c>
      <c r="C23" s="8">
        <v>45236</v>
      </c>
      <c r="D23" s="8"/>
      <c r="E23" s="7" t="s">
        <v>22</v>
      </c>
      <c r="F23" s="8" t="s">
        <v>370</v>
      </c>
      <c r="G23" s="7" t="s">
        <v>363</v>
      </c>
      <c r="H23" s="11">
        <f t="shared" si="0"/>
        <v>28334</v>
      </c>
      <c r="I23" s="11">
        <f t="shared" si="1"/>
        <v>11334</v>
      </c>
      <c r="J23" s="11">
        <f t="shared" si="2"/>
        <v>13599</v>
      </c>
      <c r="K23" s="11"/>
      <c r="L23" s="11"/>
      <c r="M23" s="11">
        <f t="shared" si="3"/>
        <v>3400</v>
      </c>
      <c r="N23" s="11">
        <f t="shared" si="4"/>
        <v>56667</v>
      </c>
      <c r="O23" s="11">
        <v>680000</v>
      </c>
    </row>
    <row r="24" spans="1:15" x14ac:dyDescent="0.2">
      <c r="A24" s="7">
        <v>23</v>
      </c>
      <c r="B24" s="7" t="s">
        <v>58</v>
      </c>
      <c r="C24" s="8">
        <v>45320</v>
      </c>
      <c r="D24" s="8"/>
      <c r="E24" s="7" t="s">
        <v>22</v>
      </c>
      <c r="F24" s="8" t="s">
        <v>359</v>
      </c>
      <c r="G24" s="7" t="s">
        <v>398</v>
      </c>
      <c r="H24" s="11">
        <f t="shared" si="0"/>
        <v>50000</v>
      </c>
      <c r="I24" s="11">
        <f t="shared" si="1"/>
        <v>20000</v>
      </c>
      <c r="J24" s="11">
        <f t="shared" si="2"/>
        <v>21000</v>
      </c>
      <c r="K24" s="11">
        <v>2000</v>
      </c>
      <c r="L24" s="11">
        <v>1000</v>
      </c>
      <c r="M24" s="11">
        <f t="shared" si="3"/>
        <v>6000</v>
      </c>
      <c r="N24" s="11">
        <f t="shared" si="4"/>
        <v>100000</v>
      </c>
      <c r="O24" s="11">
        <v>1200000</v>
      </c>
    </row>
    <row r="25" spans="1:15" x14ac:dyDescent="0.2">
      <c r="A25" s="7">
        <v>24</v>
      </c>
      <c r="B25" s="7" t="s">
        <v>59</v>
      </c>
      <c r="C25" s="8">
        <v>45327</v>
      </c>
      <c r="D25" s="8">
        <v>46084</v>
      </c>
      <c r="E25" s="7" t="s">
        <v>27</v>
      </c>
      <c r="F25" s="8" t="s">
        <v>366</v>
      </c>
      <c r="G25" s="7" t="s">
        <v>397</v>
      </c>
      <c r="H25" s="11">
        <f t="shared" si="0"/>
        <v>32500</v>
      </c>
      <c r="I25" s="11">
        <f t="shared" si="1"/>
        <v>13000</v>
      </c>
      <c r="J25" s="11">
        <f t="shared" si="2"/>
        <v>15600</v>
      </c>
      <c r="K25" s="11"/>
      <c r="L25" s="11"/>
      <c r="M25" s="11">
        <f t="shared" si="3"/>
        <v>3900</v>
      </c>
      <c r="N25" s="11">
        <f t="shared" si="4"/>
        <v>65000</v>
      </c>
      <c r="O25" s="11">
        <v>780000</v>
      </c>
    </row>
    <row r="26" spans="1:15" x14ac:dyDescent="0.2">
      <c r="A26" s="7">
        <v>25</v>
      </c>
      <c r="B26" s="7" t="s">
        <v>60</v>
      </c>
      <c r="C26" s="8">
        <v>45328</v>
      </c>
      <c r="D26" s="8"/>
      <c r="E26" s="7" t="s">
        <v>22</v>
      </c>
      <c r="F26" s="8" t="s">
        <v>366</v>
      </c>
      <c r="G26" s="7" t="s">
        <v>397</v>
      </c>
      <c r="H26" s="11">
        <f t="shared" si="0"/>
        <v>30209</v>
      </c>
      <c r="I26" s="11">
        <f t="shared" si="1"/>
        <v>12084</v>
      </c>
      <c r="J26" s="11">
        <f t="shared" si="2"/>
        <v>14499</v>
      </c>
      <c r="K26" s="11"/>
      <c r="L26" s="11"/>
      <c r="M26" s="11">
        <f t="shared" si="3"/>
        <v>3625</v>
      </c>
      <c r="N26" s="11">
        <f t="shared" si="4"/>
        <v>60417</v>
      </c>
      <c r="O26" s="11">
        <v>725000</v>
      </c>
    </row>
    <row r="27" spans="1:15" x14ac:dyDescent="0.2">
      <c r="A27" s="7">
        <v>26</v>
      </c>
      <c r="B27" s="7" t="s">
        <v>61</v>
      </c>
      <c r="C27" s="8">
        <v>45404</v>
      </c>
      <c r="D27" s="8">
        <v>46012</v>
      </c>
      <c r="E27" s="7" t="s">
        <v>27</v>
      </c>
      <c r="F27" s="8" t="s">
        <v>372</v>
      </c>
      <c r="G27" s="7" t="s">
        <v>353</v>
      </c>
      <c r="H27" s="11">
        <f t="shared" si="0"/>
        <v>34375</v>
      </c>
      <c r="I27" s="11">
        <f t="shared" si="1"/>
        <v>13750</v>
      </c>
      <c r="J27" s="11">
        <f t="shared" si="2"/>
        <v>16500</v>
      </c>
      <c r="K27" s="11"/>
      <c r="L27" s="11"/>
      <c r="M27" s="11">
        <f t="shared" si="3"/>
        <v>4125</v>
      </c>
      <c r="N27" s="11">
        <f t="shared" si="4"/>
        <v>68750</v>
      </c>
      <c r="O27" s="11">
        <v>825000</v>
      </c>
    </row>
    <row r="28" spans="1:15" x14ac:dyDescent="0.2">
      <c r="A28" s="7">
        <v>27</v>
      </c>
      <c r="B28" s="7" t="s">
        <v>62</v>
      </c>
      <c r="C28" s="8">
        <v>45418</v>
      </c>
      <c r="D28" s="8"/>
      <c r="E28" s="7" t="s">
        <v>22</v>
      </c>
      <c r="F28" s="8" t="s">
        <v>359</v>
      </c>
      <c r="G28" s="7" t="s">
        <v>398</v>
      </c>
      <c r="H28" s="11">
        <f t="shared" si="0"/>
        <v>47917</v>
      </c>
      <c r="I28" s="11">
        <f t="shared" si="1"/>
        <v>19167</v>
      </c>
      <c r="J28" s="11">
        <f t="shared" si="2"/>
        <v>19999</v>
      </c>
      <c r="K28" s="11">
        <v>2000</v>
      </c>
      <c r="L28" s="11">
        <v>1000</v>
      </c>
      <c r="M28" s="11">
        <f t="shared" si="3"/>
        <v>5750</v>
      </c>
      <c r="N28" s="11">
        <f t="shared" si="4"/>
        <v>95833</v>
      </c>
      <c r="O28" s="11">
        <v>1150000</v>
      </c>
    </row>
    <row r="29" spans="1:15" x14ac:dyDescent="0.2">
      <c r="A29" s="7">
        <v>28</v>
      </c>
      <c r="B29" s="7" t="s">
        <v>64</v>
      </c>
      <c r="C29" s="8">
        <v>45502</v>
      </c>
      <c r="D29" s="8"/>
      <c r="E29" s="7" t="s">
        <v>22</v>
      </c>
      <c r="F29" s="8" t="s">
        <v>381</v>
      </c>
      <c r="G29" s="7" t="s">
        <v>353</v>
      </c>
      <c r="H29" s="11">
        <f t="shared" si="0"/>
        <v>18750</v>
      </c>
      <c r="I29" s="11">
        <f t="shared" si="1"/>
        <v>7500</v>
      </c>
      <c r="J29" s="11">
        <f t="shared" si="2"/>
        <v>9000</v>
      </c>
      <c r="K29" s="11"/>
      <c r="L29" s="11"/>
      <c r="M29" s="11">
        <f t="shared" si="3"/>
        <v>2250</v>
      </c>
      <c r="N29" s="11">
        <f t="shared" si="4"/>
        <v>37500</v>
      </c>
      <c r="O29" s="11">
        <v>450000</v>
      </c>
    </row>
    <row r="30" spans="1:15" x14ac:dyDescent="0.2">
      <c r="A30" s="7">
        <v>29</v>
      </c>
      <c r="B30" s="7" t="s">
        <v>65</v>
      </c>
      <c r="C30" s="8">
        <v>45509</v>
      </c>
      <c r="D30" s="8"/>
      <c r="E30" s="7" t="s">
        <v>22</v>
      </c>
      <c r="F30" s="8" t="s">
        <v>370</v>
      </c>
      <c r="G30" s="7" t="s">
        <v>363</v>
      </c>
      <c r="H30" s="11">
        <f t="shared" si="0"/>
        <v>27084</v>
      </c>
      <c r="I30" s="11">
        <f t="shared" si="1"/>
        <v>10834</v>
      </c>
      <c r="J30" s="11">
        <f t="shared" si="2"/>
        <v>12999</v>
      </c>
      <c r="K30" s="11"/>
      <c r="L30" s="11"/>
      <c r="M30" s="11">
        <f t="shared" si="3"/>
        <v>3250</v>
      </c>
      <c r="N30" s="11">
        <f t="shared" si="4"/>
        <v>54167</v>
      </c>
      <c r="O30" s="11">
        <v>650000</v>
      </c>
    </row>
    <row r="31" spans="1:15" x14ac:dyDescent="0.2">
      <c r="A31" s="7">
        <v>30</v>
      </c>
      <c r="B31" s="7" t="s">
        <v>66</v>
      </c>
      <c r="C31" s="8">
        <v>45537</v>
      </c>
      <c r="D31" s="8">
        <v>46098</v>
      </c>
      <c r="E31" s="7" t="s">
        <v>27</v>
      </c>
      <c r="F31" s="8" t="s">
        <v>357</v>
      </c>
      <c r="G31" s="7" t="s">
        <v>354</v>
      </c>
      <c r="H31" s="11">
        <f t="shared" si="0"/>
        <v>59792</v>
      </c>
      <c r="I31" s="11">
        <f t="shared" si="1"/>
        <v>23917</v>
      </c>
      <c r="J31" s="11">
        <f t="shared" si="2"/>
        <v>25699</v>
      </c>
      <c r="K31" s="11">
        <v>2000</v>
      </c>
      <c r="L31" s="11">
        <v>1000</v>
      </c>
      <c r="M31" s="11">
        <f t="shared" si="3"/>
        <v>7175</v>
      </c>
      <c r="N31" s="11">
        <f t="shared" si="4"/>
        <v>119583</v>
      </c>
      <c r="O31" s="11">
        <v>1435000</v>
      </c>
    </row>
    <row r="32" spans="1:15" x14ac:dyDescent="0.2">
      <c r="A32" s="7">
        <v>31</v>
      </c>
      <c r="B32" s="7" t="s">
        <v>68</v>
      </c>
      <c r="C32" s="8">
        <v>45579</v>
      </c>
      <c r="D32" s="8"/>
      <c r="E32" s="7" t="s">
        <v>22</v>
      </c>
      <c r="F32" s="8" t="s">
        <v>366</v>
      </c>
      <c r="G32" s="7" t="s">
        <v>397</v>
      </c>
      <c r="H32" s="11">
        <f t="shared" si="0"/>
        <v>29167</v>
      </c>
      <c r="I32" s="11">
        <f t="shared" si="1"/>
        <v>11667</v>
      </c>
      <c r="J32" s="11">
        <f t="shared" si="2"/>
        <v>13999</v>
      </c>
      <c r="K32" s="11"/>
      <c r="L32" s="11"/>
      <c r="M32" s="11">
        <f t="shared" si="3"/>
        <v>3500</v>
      </c>
      <c r="N32" s="11">
        <f t="shared" si="4"/>
        <v>58333</v>
      </c>
      <c r="O32" s="11">
        <v>700000</v>
      </c>
    </row>
    <row r="33" spans="1:15" x14ac:dyDescent="0.2">
      <c r="A33" s="7">
        <v>32</v>
      </c>
      <c r="B33" s="7" t="s">
        <v>69</v>
      </c>
      <c r="C33" s="8">
        <v>45607</v>
      </c>
      <c r="D33" s="8"/>
      <c r="E33" s="7" t="s">
        <v>22</v>
      </c>
      <c r="F33" s="8" t="s">
        <v>368</v>
      </c>
      <c r="G33" s="7" t="s">
        <v>398</v>
      </c>
      <c r="H33" s="11">
        <f t="shared" si="0"/>
        <v>31250</v>
      </c>
      <c r="I33" s="11">
        <f t="shared" si="1"/>
        <v>12500</v>
      </c>
      <c r="J33" s="11">
        <f t="shared" si="2"/>
        <v>15000</v>
      </c>
      <c r="K33" s="11"/>
      <c r="L33" s="11"/>
      <c r="M33" s="11">
        <f t="shared" si="3"/>
        <v>3750</v>
      </c>
      <c r="N33" s="11">
        <f t="shared" si="4"/>
        <v>62500</v>
      </c>
      <c r="O33" s="11">
        <v>750000</v>
      </c>
    </row>
    <row r="34" spans="1:15" x14ac:dyDescent="0.2">
      <c r="A34" s="7">
        <v>33</v>
      </c>
      <c r="B34" s="7" t="s">
        <v>70</v>
      </c>
      <c r="C34" s="8">
        <v>45614</v>
      </c>
      <c r="D34" s="8"/>
      <c r="E34" s="7" t="s">
        <v>22</v>
      </c>
      <c r="F34" s="8" t="s">
        <v>365</v>
      </c>
      <c r="G34" s="7" t="s">
        <v>354</v>
      </c>
      <c r="H34" s="11">
        <f t="shared" si="0"/>
        <v>52084</v>
      </c>
      <c r="I34" s="11">
        <f t="shared" si="1"/>
        <v>20834</v>
      </c>
      <c r="J34" s="11">
        <f t="shared" si="2"/>
        <v>21999</v>
      </c>
      <c r="K34" s="11">
        <v>2000</v>
      </c>
      <c r="L34" s="11">
        <v>1000</v>
      </c>
      <c r="M34" s="11">
        <f t="shared" si="3"/>
        <v>6250</v>
      </c>
      <c r="N34" s="11">
        <f t="shared" si="4"/>
        <v>104167</v>
      </c>
      <c r="O34" s="11">
        <v>1250000</v>
      </c>
    </row>
    <row r="35" spans="1:15" x14ac:dyDescent="0.2">
      <c r="A35" s="7">
        <v>34</v>
      </c>
      <c r="B35" s="7" t="s">
        <v>71</v>
      </c>
      <c r="C35" s="8">
        <v>45649</v>
      </c>
      <c r="D35" s="8">
        <v>46041</v>
      </c>
      <c r="E35" s="7" t="s">
        <v>27</v>
      </c>
      <c r="F35" s="8" t="s">
        <v>368</v>
      </c>
      <c r="G35" s="7" t="s">
        <v>398</v>
      </c>
      <c r="H35" s="11">
        <f t="shared" si="0"/>
        <v>26042</v>
      </c>
      <c r="I35" s="11">
        <f t="shared" si="1"/>
        <v>10417</v>
      </c>
      <c r="J35" s="11">
        <f t="shared" si="2"/>
        <v>12499</v>
      </c>
      <c r="K35" s="11"/>
      <c r="L35" s="11"/>
      <c r="M35" s="11">
        <f t="shared" si="3"/>
        <v>3125</v>
      </c>
      <c r="N35" s="11">
        <f t="shared" si="4"/>
        <v>52083</v>
      </c>
      <c r="O35" s="11">
        <v>625000</v>
      </c>
    </row>
    <row r="36" spans="1:15" x14ac:dyDescent="0.2">
      <c r="A36" s="7">
        <v>35</v>
      </c>
      <c r="B36" s="7" t="s">
        <v>72</v>
      </c>
      <c r="C36" s="8">
        <v>45663</v>
      </c>
      <c r="D36" s="8"/>
      <c r="E36" s="7" t="s">
        <v>22</v>
      </c>
      <c r="F36" s="8" t="s">
        <v>368</v>
      </c>
      <c r="G36" s="7" t="s">
        <v>398</v>
      </c>
      <c r="H36" s="11">
        <f t="shared" si="0"/>
        <v>25000</v>
      </c>
      <c r="I36" s="11">
        <f t="shared" si="1"/>
        <v>10000</v>
      </c>
      <c r="J36" s="11">
        <f t="shared" si="2"/>
        <v>12000</v>
      </c>
      <c r="K36" s="11"/>
      <c r="L36" s="11"/>
      <c r="M36" s="11">
        <f t="shared" si="3"/>
        <v>3000</v>
      </c>
      <c r="N36" s="11">
        <f t="shared" si="4"/>
        <v>50000</v>
      </c>
      <c r="O36" s="11">
        <v>600000</v>
      </c>
    </row>
    <row r="37" spans="1:15" x14ac:dyDescent="0.2">
      <c r="A37" s="7">
        <v>36</v>
      </c>
      <c r="B37" s="7" t="s">
        <v>74</v>
      </c>
      <c r="C37" s="8">
        <v>45782</v>
      </c>
      <c r="D37" s="8"/>
      <c r="E37" s="7" t="s">
        <v>22</v>
      </c>
      <c r="F37" s="8" t="s">
        <v>371</v>
      </c>
      <c r="G37" s="7" t="s">
        <v>363</v>
      </c>
      <c r="H37" s="11">
        <f t="shared" si="0"/>
        <v>19792</v>
      </c>
      <c r="I37" s="11">
        <f t="shared" si="1"/>
        <v>7917</v>
      </c>
      <c r="J37" s="11">
        <f t="shared" si="2"/>
        <v>9499</v>
      </c>
      <c r="K37" s="11"/>
      <c r="L37" s="11"/>
      <c r="M37" s="11">
        <f t="shared" si="3"/>
        <v>2375</v>
      </c>
      <c r="N37" s="11">
        <f t="shared" si="4"/>
        <v>39583</v>
      </c>
      <c r="O37" s="11">
        <v>475000</v>
      </c>
    </row>
    <row r="38" spans="1:15" x14ac:dyDescent="0.2">
      <c r="A38" s="7">
        <v>37</v>
      </c>
      <c r="B38" s="7" t="s">
        <v>76</v>
      </c>
      <c r="C38" s="8">
        <v>45831</v>
      </c>
      <c r="D38" s="8">
        <v>46008</v>
      </c>
      <c r="E38" s="7" t="s">
        <v>27</v>
      </c>
      <c r="F38" s="8" t="s">
        <v>367</v>
      </c>
      <c r="G38" s="7" t="s">
        <v>397</v>
      </c>
      <c r="H38" s="11">
        <f t="shared" si="0"/>
        <v>18750</v>
      </c>
      <c r="I38" s="11">
        <f t="shared" si="1"/>
        <v>7500</v>
      </c>
      <c r="J38" s="11">
        <f t="shared" si="2"/>
        <v>9000</v>
      </c>
      <c r="K38" s="11"/>
      <c r="L38" s="11"/>
      <c r="M38" s="11">
        <f t="shared" si="3"/>
        <v>2250</v>
      </c>
      <c r="N38" s="11">
        <f t="shared" si="4"/>
        <v>37500</v>
      </c>
      <c r="O38" s="11">
        <v>450000</v>
      </c>
    </row>
    <row r="39" spans="1:15" x14ac:dyDescent="0.2">
      <c r="A39" s="7">
        <v>38</v>
      </c>
      <c r="B39" s="7" t="s">
        <v>78</v>
      </c>
      <c r="C39" s="8">
        <v>45852</v>
      </c>
      <c r="D39" s="8"/>
      <c r="E39" s="7" t="s">
        <v>22</v>
      </c>
      <c r="F39" s="8" t="s">
        <v>367</v>
      </c>
      <c r="G39" s="7" t="s">
        <v>397</v>
      </c>
      <c r="H39" s="11">
        <f t="shared" si="0"/>
        <v>18750</v>
      </c>
      <c r="I39" s="11">
        <f t="shared" si="1"/>
        <v>7500</v>
      </c>
      <c r="J39" s="11">
        <f t="shared" si="2"/>
        <v>9000</v>
      </c>
      <c r="K39" s="11"/>
      <c r="L39" s="11"/>
      <c r="M39" s="11">
        <f t="shared" si="3"/>
        <v>2250</v>
      </c>
      <c r="N39" s="11">
        <f t="shared" si="4"/>
        <v>37500</v>
      </c>
      <c r="O39" s="11">
        <v>450000</v>
      </c>
    </row>
    <row r="40" spans="1:15" x14ac:dyDescent="0.2">
      <c r="A40" s="7">
        <v>39</v>
      </c>
      <c r="B40" s="7" t="s">
        <v>80</v>
      </c>
      <c r="C40" s="8">
        <v>45901</v>
      </c>
      <c r="D40" s="8"/>
      <c r="E40" s="7" t="s">
        <v>22</v>
      </c>
      <c r="F40" s="8" t="s">
        <v>362</v>
      </c>
      <c r="G40" s="7" t="s">
        <v>354</v>
      </c>
      <c r="H40" s="11">
        <f t="shared" si="0"/>
        <v>53125</v>
      </c>
      <c r="I40" s="11">
        <f t="shared" si="1"/>
        <v>21250</v>
      </c>
      <c r="J40" s="11">
        <f t="shared" si="2"/>
        <v>22500</v>
      </c>
      <c r="K40" s="11">
        <v>2000</v>
      </c>
      <c r="L40" s="11">
        <v>1000</v>
      </c>
      <c r="M40" s="11">
        <f t="shared" si="3"/>
        <v>6375</v>
      </c>
      <c r="N40" s="11">
        <f t="shared" si="4"/>
        <v>106250</v>
      </c>
      <c r="O40" s="11">
        <v>1275000</v>
      </c>
    </row>
    <row r="41" spans="1:15" x14ac:dyDescent="0.2">
      <c r="A41" s="7">
        <v>40</v>
      </c>
      <c r="B41" s="7" t="s">
        <v>82</v>
      </c>
      <c r="C41" s="8">
        <v>45908</v>
      </c>
      <c r="D41" s="8">
        <v>46077</v>
      </c>
      <c r="E41" s="7" t="s">
        <v>27</v>
      </c>
      <c r="F41" s="8" t="s">
        <v>371</v>
      </c>
      <c r="G41" s="7" t="s">
        <v>363</v>
      </c>
      <c r="H41" s="11">
        <f t="shared" si="0"/>
        <v>19792</v>
      </c>
      <c r="I41" s="11">
        <f t="shared" si="1"/>
        <v>7917</v>
      </c>
      <c r="J41" s="11">
        <f t="shared" si="2"/>
        <v>9499</v>
      </c>
      <c r="K41" s="11"/>
      <c r="L41" s="11"/>
      <c r="M41" s="11">
        <f t="shared" si="3"/>
        <v>2375</v>
      </c>
      <c r="N41" s="11">
        <f t="shared" si="4"/>
        <v>39583</v>
      </c>
      <c r="O41" s="11">
        <v>475000</v>
      </c>
    </row>
    <row r="42" spans="1:15" x14ac:dyDescent="0.2">
      <c r="A42" s="7">
        <v>41</v>
      </c>
      <c r="B42" s="7" t="s">
        <v>83</v>
      </c>
      <c r="C42" s="8">
        <v>45978</v>
      </c>
      <c r="D42" s="8"/>
      <c r="E42" s="7" t="s">
        <v>22</v>
      </c>
      <c r="F42" s="8" t="s">
        <v>365</v>
      </c>
      <c r="G42" s="7" t="s">
        <v>354</v>
      </c>
      <c r="H42" s="11">
        <f t="shared" si="0"/>
        <v>49167</v>
      </c>
      <c r="I42" s="11">
        <f t="shared" si="1"/>
        <v>19667</v>
      </c>
      <c r="J42" s="11">
        <f t="shared" si="2"/>
        <v>20599</v>
      </c>
      <c r="K42" s="11">
        <v>2000</v>
      </c>
      <c r="L42" s="11">
        <v>1000</v>
      </c>
      <c r="M42" s="11">
        <f t="shared" si="3"/>
        <v>5900</v>
      </c>
      <c r="N42" s="11">
        <f t="shared" si="4"/>
        <v>98333</v>
      </c>
      <c r="O42" s="11">
        <v>1180000</v>
      </c>
    </row>
    <row r="43" spans="1:15" x14ac:dyDescent="0.2">
      <c r="A43" s="7">
        <v>42</v>
      </c>
      <c r="B43" s="7" t="s">
        <v>85</v>
      </c>
      <c r="C43" s="8">
        <v>45992</v>
      </c>
      <c r="D43" s="8"/>
      <c r="E43" s="7" t="s">
        <v>22</v>
      </c>
      <c r="F43" s="8" t="s">
        <v>381</v>
      </c>
      <c r="G43" s="7" t="s">
        <v>353</v>
      </c>
      <c r="H43" s="11">
        <f t="shared" si="0"/>
        <v>18750</v>
      </c>
      <c r="I43" s="11">
        <f t="shared" si="1"/>
        <v>7500</v>
      </c>
      <c r="J43" s="11">
        <f t="shared" si="2"/>
        <v>9000</v>
      </c>
      <c r="K43" s="11"/>
      <c r="L43" s="11"/>
      <c r="M43" s="11">
        <f t="shared" si="3"/>
        <v>2250</v>
      </c>
      <c r="N43" s="11">
        <f t="shared" si="4"/>
        <v>37500</v>
      </c>
      <c r="O43" s="11">
        <v>450000</v>
      </c>
    </row>
    <row r="44" spans="1:15" x14ac:dyDescent="0.2">
      <c r="A44" s="7">
        <v>43</v>
      </c>
      <c r="B44" s="7" t="s">
        <v>86</v>
      </c>
      <c r="C44" s="8">
        <v>46027</v>
      </c>
      <c r="D44" s="8"/>
      <c r="E44" s="7" t="s">
        <v>22</v>
      </c>
      <c r="F44" s="8" t="s">
        <v>368</v>
      </c>
      <c r="G44" s="7" t="s">
        <v>398</v>
      </c>
      <c r="H44" s="11">
        <f t="shared" si="0"/>
        <v>23959</v>
      </c>
      <c r="I44" s="11">
        <f t="shared" si="1"/>
        <v>9584</v>
      </c>
      <c r="J44" s="11">
        <f t="shared" si="2"/>
        <v>11499</v>
      </c>
      <c r="K44" s="11"/>
      <c r="L44" s="11"/>
      <c r="M44" s="11">
        <f t="shared" si="3"/>
        <v>2875</v>
      </c>
      <c r="N44" s="11">
        <f t="shared" si="4"/>
        <v>47917</v>
      </c>
      <c r="O44" s="11">
        <v>575000</v>
      </c>
    </row>
    <row r="45" spans="1:15" x14ac:dyDescent="0.2">
      <c r="A45" s="7">
        <v>44</v>
      </c>
      <c r="B45" s="7" t="s">
        <v>87</v>
      </c>
      <c r="C45" s="8">
        <v>46041</v>
      </c>
      <c r="D45" s="8"/>
      <c r="E45" s="7" t="s">
        <v>22</v>
      </c>
      <c r="F45" s="8" t="s">
        <v>365</v>
      </c>
      <c r="G45" s="7" t="s">
        <v>354</v>
      </c>
      <c r="H45" s="11">
        <f t="shared" si="0"/>
        <v>47917</v>
      </c>
      <c r="I45" s="11">
        <f t="shared" si="1"/>
        <v>19167</v>
      </c>
      <c r="J45" s="11">
        <f t="shared" si="2"/>
        <v>19999</v>
      </c>
      <c r="K45" s="11">
        <v>2000</v>
      </c>
      <c r="L45" s="11">
        <v>1000</v>
      </c>
      <c r="M45" s="11">
        <f t="shared" si="3"/>
        <v>5750</v>
      </c>
      <c r="N45" s="11">
        <f t="shared" si="4"/>
        <v>95833</v>
      </c>
      <c r="O45" s="11">
        <v>1150000</v>
      </c>
    </row>
    <row r="46" spans="1:15" x14ac:dyDescent="0.2">
      <c r="A46" s="7">
        <v>45</v>
      </c>
      <c r="B46" s="7" t="s">
        <v>89</v>
      </c>
      <c r="C46" s="8">
        <v>46056</v>
      </c>
      <c r="D46" s="8"/>
      <c r="E46" s="7" t="s">
        <v>22</v>
      </c>
      <c r="F46" s="8" t="s">
        <v>367</v>
      </c>
      <c r="G46" s="7" t="s">
        <v>397</v>
      </c>
      <c r="H46" s="11">
        <f t="shared" si="0"/>
        <v>18750</v>
      </c>
      <c r="I46" s="11">
        <f t="shared" si="1"/>
        <v>7500</v>
      </c>
      <c r="J46" s="11">
        <f t="shared" si="2"/>
        <v>9000</v>
      </c>
      <c r="K46" s="11"/>
      <c r="L46" s="11"/>
      <c r="M46" s="11">
        <f t="shared" si="3"/>
        <v>2250</v>
      </c>
      <c r="N46" s="11">
        <f t="shared" si="4"/>
        <v>37500</v>
      </c>
      <c r="O46" s="11">
        <v>450000</v>
      </c>
    </row>
    <row r="47" spans="1:15" x14ac:dyDescent="0.2">
      <c r="A47" s="7">
        <v>46</v>
      </c>
      <c r="B47" s="7" t="s">
        <v>91</v>
      </c>
      <c r="C47" s="8">
        <v>46062</v>
      </c>
      <c r="D47" s="8"/>
      <c r="E47" s="7" t="s">
        <v>22</v>
      </c>
      <c r="F47" s="8" t="s">
        <v>368</v>
      </c>
      <c r="G47" s="7" t="s">
        <v>398</v>
      </c>
      <c r="H47" s="11">
        <f t="shared" si="0"/>
        <v>23959</v>
      </c>
      <c r="I47" s="11">
        <f t="shared" si="1"/>
        <v>9584</v>
      </c>
      <c r="J47" s="11">
        <f t="shared" si="2"/>
        <v>11499</v>
      </c>
      <c r="K47" s="11"/>
      <c r="L47" s="11"/>
      <c r="M47" s="11">
        <f t="shared" si="3"/>
        <v>2875</v>
      </c>
      <c r="N47" s="11">
        <f t="shared" si="4"/>
        <v>47917</v>
      </c>
      <c r="O47" s="11">
        <v>575000</v>
      </c>
    </row>
    <row r="48" spans="1:15" x14ac:dyDescent="0.2">
      <c r="A48" s="7">
        <v>47</v>
      </c>
      <c r="B48" s="7" t="s">
        <v>93</v>
      </c>
      <c r="C48" s="8">
        <v>46063</v>
      </c>
      <c r="D48" s="8"/>
      <c r="E48" s="7" t="s">
        <v>22</v>
      </c>
      <c r="F48" s="8" t="s">
        <v>368</v>
      </c>
      <c r="G48" s="7" t="s">
        <v>398</v>
      </c>
      <c r="H48" s="11">
        <f t="shared" si="0"/>
        <v>23959</v>
      </c>
      <c r="I48" s="11">
        <f t="shared" si="1"/>
        <v>9584</v>
      </c>
      <c r="J48" s="11">
        <f t="shared" si="2"/>
        <v>11499</v>
      </c>
      <c r="K48" s="11"/>
      <c r="L48" s="11"/>
      <c r="M48" s="11">
        <f t="shared" si="3"/>
        <v>2875</v>
      </c>
      <c r="N48" s="11">
        <f t="shared" si="4"/>
        <v>47917</v>
      </c>
      <c r="O48" s="11">
        <v>575000</v>
      </c>
    </row>
    <row r="49" spans="1:15" x14ac:dyDescent="0.2">
      <c r="A49" s="7">
        <v>48</v>
      </c>
      <c r="B49" s="7" t="s">
        <v>94</v>
      </c>
      <c r="C49" s="8">
        <v>46091</v>
      </c>
      <c r="D49" s="8"/>
      <c r="E49" s="7" t="s">
        <v>22</v>
      </c>
      <c r="F49" s="8" t="s">
        <v>367</v>
      </c>
      <c r="G49" s="7" t="s">
        <v>397</v>
      </c>
      <c r="H49" s="11">
        <f t="shared" si="0"/>
        <v>18750</v>
      </c>
      <c r="I49" s="11">
        <f t="shared" si="1"/>
        <v>7500</v>
      </c>
      <c r="J49" s="11">
        <f t="shared" si="2"/>
        <v>9000</v>
      </c>
      <c r="K49" s="11"/>
      <c r="L49" s="11"/>
      <c r="M49" s="11">
        <f t="shared" si="3"/>
        <v>2250</v>
      </c>
      <c r="N49" s="11">
        <f t="shared" si="4"/>
        <v>37500</v>
      </c>
      <c r="O49" s="11">
        <v>450000</v>
      </c>
    </row>
    <row r="50" spans="1:15" x14ac:dyDescent="0.2">
      <c r="A50" s="7">
        <v>49</v>
      </c>
      <c r="B50" s="7" t="s">
        <v>95</v>
      </c>
      <c r="C50" s="8">
        <v>46098</v>
      </c>
      <c r="D50" s="8"/>
      <c r="E50" s="7" t="s">
        <v>22</v>
      </c>
      <c r="F50" s="8" t="s">
        <v>371</v>
      </c>
      <c r="G50" s="7" t="s">
        <v>363</v>
      </c>
      <c r="H50" s="11">
        <f t="shared" si="0"/>
        <v>19792</v>
      </c>
      <c r="I50" s="11">
        <f t="shared" si="1"/>
        <v>7917</v>
      </c>
      <c r="J50" s="11">
        <f t="shared" si="2"/>
        <v>9499</v>
      </c>
      <c r="K50" s="11"/>
      <c r="L50" s="11"/>
      <c r="M50" s="11">
        <f t="shared" si="3"/>
        <v>2375</v>
      </c>
      <c r="N50" s="11">
        <f t="shared" si="4"/>
        <v>39583</v>
      </c>
      <c r="O50" s="11">
        <v>475000</v>
      </c>
    </row>
    <row r="51" spans="1:15" x14ac:dyDescent="0.2">
      <c r="A51" s="7">
        <v>50</v>
      </c>
      <c r="B51" s="7" t="s">
        <v>96</v>
      </c>
      <c r="C51" s="8">
        <v>46105</v>
      </c>
      <c r="D51" s="8"/>
      <c r="E51" s="7" t="s">
        <v>22</v>
      </c>
      <c r="F51" s="8" t="s">
        <v>381</v>
      </c>
      <c r="G51" s="7" t="s">
        <v>353</v>
      </c>
      <c r="H51" s="11">
        <f t="shared" si="0"/>
        <v>18750</v>
      </c>
      <c r="I51" s="11">
        <f t="shared" si="1"/>
        <v>7500</v>
      </c>
      <c r="J51" s="11">
        <f t="shared" si="2"/>
        <v>9000</v>
      </c>
      <c r="K51" s="11"/>
      <c r="L51" s="11"/>
      <c r="M51" s="11">
        <f t="shared" si="3"/>
        <v>2250</v>
      </c>
      <c r="N51" s="11">
        <f t="shared" si="4"/>
        <v>37500</v>
      </c>
      <c r="O51" s="11">
        <v>450000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A438-9E51-4625-9BEE-3D58D2763342}">
  <dimension ref="A1:G251"/>
  <sheetViews>
    <sheetView workbookViewId="0">
      <pane xSplit="2" ySplit="1" topLeftCell="C2" activePane="bottomRight" state="frozen"/>
      <selection activeCell="C2" sqref="C2"/>
      <selection pane="topRight" activeCell="C2" sqref="C2"/>
      <selection pane="bottomLeft" activeCell="C2" sqref="C2"/>
      <selection pane="bottomRight" activeCell="J1" sqref="J1"/>
    </sheetView>
  </sheetViews>
  <sheetFormatPr defaultRowHeight="15" x14ac:dyDescent="0.25"/>
  <cols>
    <col min="1" max="1" width="11.7109375" customWidth="1"/>
    <col min="2" max="3" width="16.5703125" customWidth="1"/>
    <col min="4" max="4" width="18.28515625" customWidth="1"/>
    <col min="5" max="7" width="16.5703125" customWidth="1"/>
  </cols>
  <sheetData>
    <row r="1" spans="1:7" x14ac:dyDescent="0.25">
      <c r="A1" s="4" t="s">
        <v>386</v>
      </c>
      <c r="B1" s="4" t="s">
        <v>347</v>
      </c>
      <c r="C1" s="4" t="s">
        <v>11</v>
      </c>
      <c r="D1" s="4" t="s">
        <v>348</v>
      </c>
      <c r="E1" s="4" t="s">
        <v>349</v>
      </c>
      <c r="F1" s="4" t="s">
        <v>350</v>
      </c>
      <c r="G1" s="4" t="s">
        <v>396</v>
      </c>
    </row>
    <row r="2" spans="1:7" x14ac:dyDescent="0.25">
      <c r="A2">
        <v>2022</v>
      </c>
      <c r="B2" t="s">
        <v>144</v>
      </c>
      <c r="C2" t="s">
        <v>354</v>
      </c>
      <c r="D2">
        <v>0</v>
      </c>
      <c r="E2">
        <v>1</v>
      </c>
      <c r="F2">
        <v>0</v>
      </c>
      <c r="G2">
        <v>1</v>
      </c>
    </row>
    <row r="3" spans="1:7" x14ac:dyDescent="0.25">
      <c r="A3">
        <v>2022</v>
      </c>
      <c r="B3" t="s">
        <v>144</v>
      </c>
      <c r="C3" t="s">
        <v>397</v>
      </c>
      <c r="D3">
        <v>0</v>
      </c>
      <c r="E3">
        <v>0</v>
      </c>
      <c r="F3">
        <v>0</v>
      </c>
      <c r="G3">
        <v>0</v>
      </c>
    </row>
    <row r="4" spans="1:7" x14ac:dyDescent="0.25">
      <c r="A4">
        <v>2022</v>
      </c>
      <c r="B4" t="s">
        <v>144</v>
      </c>
      <c r="C4" t="s">
        <v>398</v>
      </c>
      <c r="D4">
        <v>0</v>
      </c>
      <c r="E4">
        <v>1</v>
      </c>
      <c r="F4">
        <v>0</v>
      </c>
      <c r="G4">
        <v>1</v>
      </c>
    </row>
    <row r="5" spans="1:7" x14ac:dyDescent="0.25">
      <c r="A5">
        <v>2022</v>
      </c>
      <c r="B5" t="s">
        <v>144</v>
      </c>
      <c r="C5" t="s">
        <v>363</v>
      </c>
      <c r="D5">
        <v>0</v>
      </c>
      <c r="E5">
        <v>0</v>
      </c>
      <c r="F5">
        <v>0</v>
      </c>
      <c r="G5">
        <v>0</v>
      </c>
    </row>
    <row r="6" spans="1:7" x14ac:dyDescent="0.25">
      <c r="A6">
        <v>2022</v>
      </c>
      <c r="B6" t="s">
        <v>144</v>
      </c>
      <c r="C6" t="s">
        <v>353</v>
      </c>
      <c r="D6">
        <v>0</v>
      </c>
      <c r="E6">
        <v>0</v>
      </c>
      <c r="F6">
        <v>0</v>
      </c>
      <c r="G6">
        <v>0</v>
      </c>
    </row>
    <row r="7" spans="1:7" x14ac:dyDescent="0.25">
      <c r="A7">
        <v>2022</v>
      </c>
      <c r="B7" t="s">
        <v>145</v>
      </c>
      <c r="C7" t="s">
        <v>354</v>
      </c>
      <c r="D7">
        <v>1</v>
      </c>
      <c r="E7">
        <v>0</v>
      </c>
      <c r="F7">
        <v>0</v>
      </c>
      <c r="G7">
        <v>1</v>
      </c>
    </row>
    <row r="8" spans="1:7" x14ac:dyDescent="0.25">
      <c r="A8">
        <v>2022</v>
      </c>
      <c r="B8" t="s">
        <v>145</v>
      </c>
      <c r="C8" t="s">
        <v>397</v>
      </c>
      <c r="D8">
        <v>0</v>
      </c>
      <c r="E8">
        <v>0</v>
      </c>
      <c r="F8">
        <v>0</v>
      </c>
      <c r="G8">
        <v>0</v>
      </c>
    </row>
    <row r="9" spans="1:7" x14ac:dyDescent="0.25">
      <c r="A9">
        <v>2022</v>
      </c>
      <c r="B9" t="s">
        <v>145</v>
      </c>
      <c r="C9" t="s">
        <v>398</v>
      </c>
      <c r="D9">
        <v>1</v>
      </c>
      <c r="E9">
        <v>1</v>
      </c>
      <c r="F9">
        <v>0</v>
      </c>
      <c r="G9">
        <v>2</v>
      </c>
    </row>
    <row r="10" spans="1:7" x14ac:dyDescent="0.25">
      <c r="A10">
        <v>2022</v>
      </c>
      <c r="B10" t="s">
        <v>145</v>
      </c>
      <c r="C10" t="s">
        <v>363</v>
      </c>
      <c r="D10">
        <v>0</v>
      </c>
      <c r="E10">
        <v>0</v>
      </c>
      <c r="F10">
        <v>0</v>
      </c>
      <c r="G10">
        <v>0</v>
      </c>
    </row>
    <row r="11" spans="1:7" x14ac:dyDescent="0.25">
      <c r="A11">
        <v>2022</v>
      </c>
      <c r="B11" t="s">
        <v>145</v>
      </c>
      <c r="C11" t="s">
        <v>353</v>
      </c>
      <c r="D11">
        <v>0</v>
      </c>
      <c r="E11">
        <v>0</v>
      </c>
      <c r="F11">
        <v>0</v>
      </c>
      <c r="G11">
        <v>0</v>
      </c>
    </row>
    <row r="12" spans="1:7" x14ac:dyDescent="0.25">
      <c r="A12">
        <v>2022</v>
      </c>
      <c r="B12" t="s">
        <v>387</v>
      </c>
      <c r="C12" t="s">
        <v>354</v>
      </c>
      <c r="D12">
        <v>1</v>
      </c>
      <c r="E12">
        <v>1</v>
      </c>
      <c r="F12">
        <v>0</v>
      </c>
      <c r="G12">
        <v>2</v>
      </c>
    </row>
    <row r="13" spans="1:7" x14ac:dyDescent="0.25">
      <c r="A13">
        <v>2022</v>
      </c>
      <c r="B13" t="s">
        <v>387</v>
      </c>
      <c r="C13" t="s">
        <v>397</v>
      </c>
      <c r="D13">
        <v>0</v>
      </c>
      <c r="E13">
        <v>0</v>
      </c>
      <c r="F13">
        <v>0</v>
      </c>
      <c r="G13">
        <v>0</v>
      </c>
    </row>
    <row r="14" spans="1:7" x14ac:dyDescent="0.25">
      <c r="A14">
        <v>2022</v>
      </c>
      <c r="B14" t="s">
        <v>387</v>
      </c>
      <c r="C14" t="s">
        <v>398</v>
      </c>
      <c r="D14">
        <v>2</v>
      </c>
      <c r="E14">
        <v>0</v>
      </c>
      <c r="F14">
        <v>0</v>
      </c>
      <c r="G14">
        <v>2</v>
      </c>
    </row>
    <row r="15" spans="1:7" x14ac:dyDescent="0.25">
      <c r="A15">
        <v>2022</v>
      </c>
      <c r="B15" t="s">
        <v>387</v>
      </c>
      <c r="C15" t="s">
        <v>363</v>
      </c>
      <c r="D15">
        <v>0</v>
      </c>
      <c r="E15">
        <v>0</v>
      </c>
      <c r="F15">
        <v>0</v>
      </c>
      <c r="G15">
        <v>0</v>
      </c>
    </row>
    <row r="16" spans="1:7" x14ac:dyDescent="0.25">
      <c r="A16">
        <v>2022</v>
      </c>
      <c r="B16" t="s">
        <v>387</v>
      </c>
      <c r="C16" t="s">
        <v>353</v>
      </c>
      <c r="D16">
        <v>0</v>
      </c>
      <c r="E16">
        <v>0</v>
      </c>
      <c r="F16">
        <v>0</v>
      </c>
      <c r="G16">
        <v>0</v>
      </c>
    </row>
    <row r="17" spans="1:7" x14ac:dyDescent="0.25">
      <c r="A17">
        <v>2022</v>
      </c>
      <c r="B17" t="s">
        <v>388</v>
      </c>
      <c r="C17" t="s">
        <v>354</v>
      </c>
      <c r="D17">
        <v>2</v>
      </c>
      <c r="E17">
        <v>0</v>
      </c>
      <c r="F17">
        <v>0</v>
      </c>
      <c r="G17">
        <v>2</v>
      </c>
    </row>
    <row r="18" spans="1:7" x14ac:dyDescent="0.25">
      <c r="A18">
        <v>2022</v>
      </c>
      <c r="B18" t="s">
        <v>388</v>
      </c>
      <c r="C18" t="s">
        <v>397</v>
      </c>
      <c r="D18">
        <v>0</v>
      </c>
      <c r="E18">
        <v>0</v>
      </c>
      <c r="F18">
        <v>0</v>
      </c>
      <c r="G18">
        <v>0</v>
      </c>
    </row>
    <row r="19" spans="1:7" x14ac:dyDescent="0.25">
      <c r="A19">
        <v>2022</v>
      </c>
      <c r="B19" t="s">
        <v>388</v>
      </c>
      <c r="C19" t="s">
        <v>398</v>
      </c>
      <c r="D19">
        <v>2</v>
      </c>
      <c r="E19">
        <v>0</v>
      </c>
      <c r="F19">
        <v>0</v>
      </c>
      <c r="G19">
        <v>2</v>
      </c>
    </row>
    <row r="20" spans="1:7" x14ac:dyDescent="0.25">
      <c r="A20">
        <v>2022</v>
      </c>
      <c r="B20" t="s">
        <v>388</v>
      </c>
      <c r="C20" t="s">
        <v>363</v>
      </c>
      <c r="D20">
        <v>0</v>
      </c>
      <c r="E20">
        <v>2</v>
      </c>
      <c r="F20">
        <v>0</v>
      </c>
      <c r="G20">
        <v>2</v>
      </c>
    </row>
    <row r="21" spans="1:7" x14ac:dyDescent="0.25">
      <c r="A21">
        <v>2022</v>
      </c>
      <c r="B21" t="s">
        <v>388</v>
      </c>
      <c r="C21" t="s">
        <v>353</v>
      </c>
      <c r="D21">
        <v>0</v>
      </c>
      <c r="E21">
        <v>0</v>
      </c>
      <c r="F21">
        <v>0</v>
      </c>
      <c r="G21">
        <v>0</v>
      </c>
    </row>
    <row r="22" spans="1:7" x14ac:dyDescent="0.25">
      <c r="A22">
        <v>2022</v>
      </c>
      <c r="B22" t="s">
        <v>389</v>
      </c>
      <c r="C22" t="s">
        <v>354</v>
      </c>
      <c r="D22">
        <v>2</v>
      </c>
      <c r="E22">
        <v>0</v>
      </c>
      <c r="F22">
        <v>0</v>
      </c>
      <c r="G22">
        <v>2</v>
      </c>
    </row>
    <row r="23" spans="1:7" x14ac:dyDescent="0.25">
      <c r="A23">
        <v>2022</v>
      </c>
      <c r="B23" t="s">
        <v>389</v>
      </c>
      <c r="C23" t="s">
        <v>397</v>
      </c>
      <c r="D23">
        <v>0</v>
      </c>
      <c r="E23">
        <v>0</v>
      </c>
      <c r="F23">
        <v>0</v>
      </c>
      <c r="G23">
        <v>0</v>
      </c>
    </row>
    <row r="24" spans="1:7" x14ac:dyDescent="0.25">
      <c r="A24">
        <v>2022</v>
      </c>
      <c r="B24" t="s">
        <v>389</v>
      </c>
      <c r="C24" t="s">
        <v>398</v>
      </c>
      <c r="D24">
        <v>2</v>
      </c>
      <c r="E24">
        <v>0</v>
      </c>
      <c r="F24">
        <v>0</v>
      </c>
      <c r="G24">
        <v>2</v>
      </c>
    </row>
    <row r="25" spans="1:7" x14ac:dyDescent="0.25">
      <c r="A25">
        <v>2022</v>
      </c>
      <c r="B25" t="s">
        <v>389</v>
      </c>
      <c r="C25" t="s">
        <v>363</v>
      </c>
      <c r="D25">
        <v>2</v>
      </c>
      <c r="E25">
        <v>0</v>
      </c>
      <c r="F25">
        <v>0</v>
      </c>
      <c r="G25">
        <v>2</v>
      </c>
    </row>
    <row r="26" spans="1:7" x14ac:dyDescent="0.25">
      <c r="A26">
        <v>2022</v>
      </c>
      <c r="B26" t="s">
        <v>389</v>
      </c>
      <c r="C26" t="s">
        <v>353</v>
      </c>
      <c r="D26">
        <v>0</v>
      </c>
      <c r="E26">
        <v>0</v>
      </c>
      <c r="F26">
        <v>0</v>
      </c>
      <c r="G26">
        <v>0</v>
      </c>
    </row>
    <row r="27" spans="1:7" x14ac:dyDescent="0.25">
      <c r="A27">
        <v>2022</v>
      </c>
      <c r="B27" t="s">
        <v>390</v>
      </c>
      <c r="C27" t="s">
        <v>354</v>
      </c>
      <c r="D27">
        <v>2</v>
      </c>
      <c r="E27">
        <v>0</v>
      </c>
      <c r="F27">
        <v>0</v>
      </c>
      <c r="G27">
        <v>2</v>
      </c>
    </row>
    <row r="28" spans="1:7" x14ac:dyDescent="0.25">
      <c r="A28">
        <v>2022</v>
      </c>
      <c r="B28" t="s">
        <v>390</v>
      </c>
      <c r="C28" t="s">
        <v>397</v>
      </c>
      <c r="D28">
        <v>0</v>
      </c>
      <c r="E28">
        <v>0</v>
      </c>
      <c r="F28">
        <v>0</v>
      </c>
      <c r="G28">
        <v>0</v>
      </c>
    </row>
    <row r="29" spans="1:7" x14ac:dyDescent="0.25">
      <c r="A29">
        <v>2022</v>
      </c>
      <c r="B29" t="s">
        <v>390</v>
      </c>
      <c r="C29" t="s">
        <v>398</v>
      </c>
      <c r="D29">
        <v>2</v>
      </c>
      <c r="E29">
        <v>0</v>
      </c>
      <c r="F29">
        <v>0</v>
      </c>
      <c r="G29">
        <v>2</v>
      </c>
    </row>
    <row r="30" spans="1:7" x14ac:dyDescent="0.25">
      <c r="A30">
        <v>2022</v>
      </c>
      <c r="B30" t="s">
        <v>390</v>
      </c>
      <c r="C30" t="s">
        <v>363</v>
      </c>
      <c r="D30">
        <v>2</v>
      </c>
      <c r="E30">
        <v>0</v>
      </c>
      <c r="F30">
        <v>0</v>
      </c>
      <c r="G30">
        <v>2</v>
      </c>
    </row>
    <row r="31" spans="1:7" x14ac:dyDescent="0.25">
      <c r="A31">
        <v>2022</v>
      </c>
      <c r="B31" t="s">
        <v>390</v>
      </c>
      <c r="C31" t="s">
        <v>353</v>
      </c>
      <c r="D31">
        <v>0</v>
      </c>
      <c r="E31">
        <v>0</v>
      </c>
      <c r="F31">
        <v>0</v>
      </c>
      <c r="G31">
        <v>0</v>
      </c>
    </row>
    <row r="32" spans="1:7" x14ac:dyDescent="0.25">
      <c r="A32">
        <v>2022</v>
      </c>
      <c r="B32" t="s">
        <v>391</v>
      </c>
      <c r="C32" t="s">
        <v>354</v>
      </c>
      <c r="D32">
        <v>2</v>
      </c>
      <c r="E32">
        <v>0</v>
      </c>
      <c r="F32">
        <v>0</v>
      </c>
      <c r="G32">
        <v>2</v>
      </c>
    </row>
    <row r="33" spans="1:7" x14ac:dyDescent="0.25">
      <c r="A33">
        <v>2022</v>
      </c>
      <c r="B33" t="s">
        <v>391</v>
      </c>
      <c r="C33" t="s">
        <v>397</v>
      </c>
      <c r="D33">
        <v>0</v>
      </c>
      <c r="E33">
        <v>0</v>
      </c>
      <c r="F33">
        <v>0</v>
      </c>
      <c r="G33">
        <v>0</v>
      </c>
    </row>
    <row r="34" spans="1:7" x14ac:dyDescent="0.25">
      <c r="A34">
        <v>2022</v>
      </c>
      <c r="B34" t="s">
        <v>391</v>
      </c>
      <c r="C34" t="s">
        <v>398</v>
      </c>
      <c r="D34">
        <v>2</v>
      </c>
      <c r="E34">
        <v>0</v>
      </c>
      <c r="F34">
        <v>0</v>
      </c>
      <c r="G34">
        <v>2</v>
      </c>
    </row>
    <row r="35" spans="1:7" x14ac:dyDescent="0.25">
      <c r="A35">
        <v>2022</v>
      </c>
      <c r="B35" t="s">
        <v>391</v>
      </c>
      <c r="C35" t="s">
        <v>363</v>
      </c>
      <c r="D35">
        <v>2</v>
      </c>
      <c r="E35">
        <v>1</v>
      </c>
      <c r="F35">
        <v>0</v>
      </c>
      <c r="G35">
        <v>3</v>
      </c>
    </row>
    <row r="36" spans="1:7" x14ac:dyDescent="0.25">
      <c r="A36">
        <v>2022</v>
      </c>
      <c r="B36" t="s">
        <v>391</v>
      </c>
      <c r="C36" t="s">
        <v>353</v>
      </c>
      <c r="D36">
        <v>0</v>
      </c>
      <c r="E36">
        <v>0</v>
      </c>
      <c r="F36">
        <v>0</v>
      </c>
      <c r="G36">
        <v>0</v>
      </c>
    </row>
    <row r="37" spans="1:7" x14ac:dyDescent="0.25">
      <c r="A37">
        <v>2022</v>
      </c>
      <c r="B37" t="s">
        <v>392</v>
      </c>
      <c r="C37" t="s">
        <v>354</v>
      </c>
      <c r="D37">
        <v>2</v>
      </c>
      <c r="E37">
        <v>0</v>
      </c>
      <c r="F37">
        <v>0</v>
      </c>
      <c r="G37">
        <v>2</v>
      </c>
    </row>
    <row r="38" spans="1:7" x14ac:dyDescent="0.25">
      <c r="A38">
        <v>2022</v>
      </c>
      <c r="B38" t="s">
        <v>392</v>
      </c>
      <c r="C38" t="s">
        <v>397</v>
      </c>
      <c r="D38">
        <v>0</v>
      </c>
      <c r="E38">
        <v>0</v>
      </c>
      <c r="F38">
        <v>0</v>
      </c>
      <c r="G38">
        <v>0</v>
      </c>
    </row>
    <row r="39" spans="1:7" x14ac:dyDescent="0.25">
      <c r="A39">
        <v>2022</v>
      </c>
      <c r="B39" t="s">
        <v>392</v>
      </c>
      <c r="C39" t="s">
        <v>398</v>
      </c>
      <c r="D39">
        <v>2</v>
      </c>
      <c r="E39">
        <v>0</v>
      </c>
      <c r="F39">
        <v>0</v>
      </c>
      <c r="G39">
        <v>2</v>
      </c>
    </row>
    <row r="40" spans="1:7" x14ac:dyDescent="0.25">
      <c r="A40">
        <v>2022</v>
      </c>
      <c r="B40" t="s">
        <v>392</v>
      </c>
      <c r="C40" t="s">
        <v>363</v>
      </c>
      <c r="D40">
        <v>3</v>
      </c>
      <c r="E40">
        <v>0</v>
      </c>
      <c r="F40">
        <v>0</v>
      </c>
      <c r="G40">
        <v>3</v>
      </c>
    </row>
    <row r="41" spans="1:7" x14ac:dyDescent="0.25">
      <c r="A41">
        <v>2022</v>
      </c>
      <c r="B41" t="s">
        <v>392</v>
      </c>
      <c r="C41" t="s">
        <v>353</v>
      </c>
      <c r="D41">
        <v>0</v>
      </c>
      <c r="E41">
        <v>0</v>
      </c>
      <c r="F41">
        <v>0</v>
      </c>
      <c r="G41">
        <v>0</v>
      </c>
    </row>
    <row r="42" spans="1:7" x14ac:dyDescent="0.25">
      <c r="A42">
        <v>2022</v>
      </c>
      <c r="B42" t="s">
        <v>393</v>
      </c>
      <c r="C42" t="s">
        <v>354</v>
      </c>
      <c r="D42">
        <v>2</v>
      </c>
      <c r="E42">
        <v>0</v>
      </c>
      <c r="F42">
        <v>0</v>
      </c>
      <c r="G42">
        <v>2</v>
      </c>
    </row>
    <row r="43" spans="1:7" x14ac:dyDescent="0.25">
      <c r="A43">
        <v>2022</v>
      </c>
      <c r="B43" t="s">
        <v>393</v>
      </c>
      <c r="C43" t="s">
        <v>397</v>
      </c>
      <c r="D43">
        <v>0</v>
      </c>
      <c r="E43">
        <v>0</v>
      </c>
      <c r="F43">
        <v>0</v>
      </c>
      <c r="G43">
        <v>0</v>
      </c>
    </row>
    <row r="44" spans="1:7" x14ac:dyDescent="0.25">
      <c r="A44">
        <v>2022</v>
      </c>
      <c r="B44" t="s">
        <v>393</v>
      </c>
      <c r="C44" t="s">
        <v>398</v>
      </c>
      <c r="D44">
        <v>2</v>
      </c>
      <c r="E44">
        <v>0</v>
      </c>
      <c r="F44">
        <v>0</v>
      </c>
      <c r="G44">
        <v>2</v>
      </c>
    </row>
    <row r="45" spans="1:7" x14ac:dyDescent="0.25">
      <c r="A45">
        <v>2022</v>
      </c>
      <c r="B45" t="s">
        <v>393</v>
      </c>
      <c r="C45" t="s">
        <v>363</v>
      </c>
      <c r="D45">
        <v>3</v>
      </c>
      <c r="E45">
        <v>0</v>
      </c>
      <c r="F45">
        <v>0</v>
      </c>
      <c r="G45">
        <v>3</v>
      </c>
    </row>
    <row r="46" spans="1:7" x14ac:dyDescent="0.25">
      <c r="A46">
        <v>2022</v>
      </c>
      <c r="B46" t="s">
        <v>393</v>
      </c>
      <c r="C46" t="s">
        <v>353</v>
      </c>
      <c r="D46">
        <v>0</v>
      </c>
      <c r="E46">
        <v>0</v>
      </c>
      <c r="F46">
        <v>0</v>
      </c>
      <c r="G46">
        <v>0</v>
      </c>
    </row>
    <row r="47" spans="1:7" x14ac:dyDescent="0.25">
      <c r="A47">
        <v>2022</v>
      </c>
      <c r="B47" t="s">
        <v>394</v>
      </c>
      <c r="C47" t="s">
        <v>354</v>
      </c>
      <c r="D47">
        <v>2</v>
      </c>
      <c r="E47">
        <v>0</v>
      </c>
      <c r="F47">
        <v>0</v>
      </c>
      <c r="G47">
        <v>2</v>
      </c>
    </row>
    <row r="48" spans="1:7" x14ac:dyDescent="0.25">
      <c r="A48">
        <v>2022</v>
      </c>
      <c r="B48" t="s">
        <v>394</v>
      </c>
      <c r="C48" t="s">
        <v>397</v>
      </c>
      <c r="D48">
        <v>0</v>
      </c>
      <c r="E48">
        <v>0</v>
      </c>
      <c r="F48">
        <v>0</v>
      </c>
      <c r="G48">
        <v>0</v>
      </c>
    </row>
    <row r="49" spans="1:7" x14ac:dyDescent="0.25">
      <c r="A49">
        <v>2022</v>
      </c>
      <c r="B49" t="s">
        <v>394</v>
      </c>
      <c r="C49" t="s">
        <v>398</v>
      </c>
      <c r="D49">
        <v>2</v>
      </c>
      <c r="E49">
        <v>0</v>
      </c>
      <c r="F49">
        <v>0</v>
      </c>
      <c r="G49">
        <v>2</v>
      </c>
    </row>
    <row r="50" spans="1:7" x14ac:dyDescent="0.25">
      <c r="A50">
        <v>2022</v>
      </c>
      <c r="B50" t="s">
        <v>394</v>
      </c>
      <c r="C50" t="s">
        <v>363</v>
      </c>
      <c r="D50">
        <v>3</v>
      </c>
      <c r="E50">
        <v>0</v>
      </c>
      <c r="F50">
        <v>0</v>
      </c>
      <c r="G50">
        <v>3</v>
      </c>
    </row>
    <row r="51" spans="1:7" x14ac:dyDescent="0.25">
      <c r="A51">
        <v>2022</v>
      </c>
      <c r="B51" t="s">
        <v>394</v>
      </c>
      <c r="C51" t="s">
        <v>353</v>
      </c>
      <c r="D51">
        <v>0</v>
      </c>
      <c r="E51">
        <v>2</v>
      </c>
      <c r="F51">
        <v>0</v>
      </c>
      <c r="G51">
        <v>2</v>
      </c>
    </row>
    <row r="52" spans="1:7" x14ac:dyDescent="0.25">
      <c r="A52">
        <v>2022</v>
      </c>
      <c r="B52" t="s">
        <v>395</v>
      </c>
      <c r="C52" t="s">
        <v>354</v>
      </c>
      <c r="D52">
        <v>2</v>
      </c>
      <c r="E52">
        <v>0</v>
      </c>
      <c r="F52">
        <v>0</v>
      </c>
      <c r="G52">
        <v>2</v>
      </c>
    </row>
    <row r="53" spans="1:7" x14ac:dyDescent="0.25">
      <c r="A53">
        <v>2022</v>
      </c>
      <c r="B53" t="s">
        <v>395</v>
      </c>
      <c r="C53" t="s">
        <v>397</v>
      </c>
      <c r="D53">
        <v>0</v>
      </c>
      <c r="E53">
        <v>1</v>
      </c>
      <c r="F53">
        <v>0</v>
      </c>
      <c r="G53">
        <v>1</v>
      </c>
    </row>
    <row r="54" spans="1:7" x14ac:dyDescent="0.25">
      <c r="A54">
        <v>2022</v>
      </c>
      <c r="B54" t="s">
        <v>395</v>
      </c>
      <c r="C54" t="s">
        <v>398</v>
      </c>
      <c r="D54">
        <v>2</v>
      </c>
      <c r="E54">
        <v>0</v>
      </c>
      <c r="F54">
        <v>0</v>
      </c>
      <c r="G54">
        <v>2</v>
      </c>
    </row>
    <row r="55" spans="1:7" x14ac:dyDescent="0.25">
      <c r="A55">
        <v>2022</v>
      </c>
      <c r="B55" t="s">
        <v>395</v>
      </c>
      <c r="C55" t="s">
        <v>363</v>
      </c>
      <c r="D55">
        <v>3</v>
      </c>
      <c r="E55">
        <v>0</v>
      </c>
      <c r="F55">
        <v>0</v>
      </c>
      <c r="G55">
        <v>3</v>
      </c>
    </row>
    <row r="56" spans="1:7" x14ac:dyDescent="0.25">
      <c r="A56">
        <v>2022</v>
      </c>
      <c r="B56" t="s">
        <v>395</v>
      </c>
      <c r="C56" t="s">
        <v>353</v>
      </c>
      <c r="D56">
        <v>2</v>
      </c>
      <c r="E56">
        <v>0</v>
      </c>
      <c r="F56">
        <v>0</v>
      </c>
      <c r="G56">
        <v>2</v>
      </c>
    </row>
    <row r="57" spans="1:7" x14ac:dyDescent="0.25">
      <c r="A57">
        <v>2023</v>
      </c>
      <c r="B57" t="s">
        <v>143</v>
      </c>
      <c r="C57" t="s">
        <v>354</v>
      </c>
      <c r="D57">
        <v>2</v>
      </c>
      <c r="E57">
        <v>0</v>
      </c>
      <c r="F57">
        <v>0</v>
      </c>
      <c r="G57">
        <v>2</v>
      </c>
    </row>
    <row r="58" spans="1:7" x14ac:dyDescent="0.25">
      <c r="A58">
        <v>2023</v>
      </c>
      <c r="B58" t="s">
        <v>143</v>
      </c>
      <c r="C58" t="s">
        <v>397</v>
      </c>
      <c r="D58">
        <v>1</v>
      </c>
      <c r="E58">
        <v>0</v>
      </c>
      <c r="F58">
        <v>0</v>
      </c>
      <c r="G58">
        <v>1</v>
      </c>
    </row>
    <row r="59" spans="1:7" x14ac:dyDescent="0.25">
      <c r="A59">
        <v>2023</v>
      </c>
      <c r="B59" t="s">
        <v>143</v>
      </c>
      <c r="C59" t="s">
        <v>398</v>
      </c>
      <c r="D59">
        <v>2</v>
      </c>
      <c r="E59">
        <v>0</v>
      </c>
      <c r="F59">
        <v>0</v>
      </c>
      <c r="G59">
        <v>2</v>
      </c>
    </row>
    <row r="60" spans="1:7" x14ac:dyDescent="0.25">
      <c r="A60">
        <v>2023</v>
      </c>
      <c r="B60" t="s">
        <v>143</v>
      </c>
      <c r="C60" t="s">
        <v>363</v>
      </c>
      <c r="D60">
        <v>3</v>
      </c>
      <c r="E60">
        <v>0</v>
      </c>
      <c r="F60">
        <v>0</v>
      </c>
      <c r="G60">
        <v>3</v>
      </c>
    </row>
    <row r="61" spans="1:7" x14ac:dyDescent="0.25">
      <c r="A61">
        <v>2023</v>
      </c>
      <c r="B61" t="s">
        <v>143</v>
      </c>
      <c r="C61" t="s">
        <v>353</v>
      </c>
      <c r="D61">
        <v>2</v>
      </c>
      <c r="E61">
        <v>2</v>
      </c>
      <c r="F61">
        <v>0</v>
      </c>
      <c r="G61">
        <v>4</v>
      </c>
    </row>
    <row r="62" spans="1:7" x14ac:dyDescent="0.25">
      <c r="A62">
        <v>2023</v>
      </c>
      <c r="B62" t="s">
        <v>144</v>
      </c>
      <c r="C62" t="s">
        <v>354</v>
      </c>
      <c r="D62">
        <v>2</v>
      </c>
      <c r="E62">
        <v>1</v>
      </c>
      <c r="F62">
        <v>0</v>
      </c>
      <c r="G62">
        <v>3</v>
      </c>
    </row>
    <row r="63" spans="1:7" x14ac:dyDescent="0.25">
      <c r="A63">
        <v>2023</v>
      </c>
      <c r="B63" t="s">
        <v>144</v>
      </c>
      <c r="C63" t="s">
        <v>397</v>
      </c>
      <c r="D63">
        <v>1</v>
      </c>
      <c r="E63">
        <v>0</v>
      </c>
      <c r="F63">
        <v>0</v>
      </c>
      <c r="G63">
        <v>1</v>
      </c>
    </row>
    <row r="64" spans="1:7" x14ac:dyDescent="0.25">
      <c r="A64">
        <v>2023</v>
      </c>
      <c r="B64" t="s">
        <v>144</v>
      </c>
      <c r="C64" t="s">
        <v>398</v>
      </c>
      <c r="D64">
        <v>2</v>
      </c>
      <c r="E64">
        <v>0</v>
      </c>
      <c r="F64">
        <v>0</v>
      </c>
      <c r="G64">
        <v>2</v>
      </c>
    </row>
    <row r="65" spans="1:7" x14ac:dyDescent="0.25">
      <c r="A65">
        <v>2023</v>
      </c>
      <c r="B65" t="s">
        <v>144</v>
      </c>
      <c r="C65" t="s">
        <v>363</v>
      </c>
      <c r="D65">
        <v>3</v>
      </c>
      <c r="E65">
        <v>0</v>
      </c>
      <c r="F65">
        <v>0</v>
      </c>
      <c r="G65">
        <v>3</v>
      </c>
    </row>
    <row r="66" spans="1:7" x14ac:dyDescent="0.25">
      <c r="A66">
        <v>2023</v>
      </c>
      <c r="B66" t="s">
        <v>144</v>
      </c>
      <c r="C66" t="s">
        <v>353</v>
      </c>
      <c r="D66">
        <v>4</v>
      </c>
      <c r="E66">
        <v>0</v>
      </c>
      <c r="F66">
        <v>0</v>
      </c>
      <c r="G66">
        <v>4</v>
      </c>
    </row>
    <row r="67" spans="1:7" x14ac:dyDescent="0.25">
      <c r="A67">
        <v>2023</v>
      </c>
      <c r="B67" t="s">
        <v>145</v>
      </c>
      <c r="C67" t="s">
        <v>354</v>
      </c>
      <c r="D67">
        <v>3</v>
      </c>
      <c r="E67">
        <v>0</v>
      </c>
      <c r="F67">
        <v>0</v>
      </c>
      <c r="G67">
        <v>3</v>
      </c>
    </row>
    <row r="68" spans="1:7" x14ac:dyDescent="0.25">
      <c r="A68">
        <v>2023</v>
      </c>
      <c r="B68" t="s">
        <v>145</v>
      </c>
      <c r="C68" t="s">
        <v>397</v>
      </c>
      <c r="D68">
        <v>1</v>
      </c>
      <c r="E68">
        <v>0</v>
      </c>
      <c r="F68">
        <v>0</v>
      </c>
      <c r="G68">
        <v>1</v>
      </c>
    </row>
    <row r="69" spans="1:7" x14ac:dyDescent="0.25">
      <c r="A69">
        <v>2023</v>
      </c>
      <c r="B69" t="s">
        <v>145</v>
      </c>
      <c r="C69" t="s">
        <v>398</v>
      </c>
      <c r="D69">
        <v>2</v>
      </c>
      <c r="E69">
        <v>0</v>
      </c>
      <c r="F69">
        <v>0</v>
      </c>
      <c r="G69">
        <v>2</v>
      </c>
    </row>
    <row r="70" spans="1:7" x14ac:dyDescent="0.25">
      <c r="A70">
        <v>2023</v>
      </c>
      <c r="B70" t="s">
        <v>145</v>
      </c>
      <c r="C70" t="s">
        <v>363</v>
      </c>
      <c r="D70">
        <v>3</v>
      </c>
      <c r="E70">
        <v>1</v>
      </c>
      <c r="F70">
        <v>0</v>
      </c>
      <c r="G70">
        <v>4</v>
      </c>
    </row>
    <row r="71" spans="1:7" x14ac:dyDescent="0.25">
      <c r="A71">
        <v>2023</v>
      </c>
      <c r="B71" t="s">
        <v>145</v>
      </c>
      <c r="C71" t="s">
        <v>353</v>
      </c>
      <c r="D71">
        <v>4</v>
      </c>
      <c r="E71">
        <v>0</v>
      </c>
      <c r="F71">
        <v>0</v>
      </c>
      <c r="G71">
        <v>4</v>
      </c>
    </row>
    <row r="72" spans="1:7" x14ac:dyDescent="0.25">
      <c r="A72">
        <v>2023</v>
      </c>
      <c r="B72" t="s">
        <v>387</v>
      </c>
      <c r="C72" t="s">
        <v>354</v>
      </c>
      <c r="D72">
        <v>3</v>
      </c>
      <c r="E72">
        <v>2</v>
      </c>
      <c r="F72">
        <v>0</v>
      </c>
      <c r="G72">
        <v>5</v>
      </c>
    </row>
    <row r="73" spans="1:7" x14ac:dyDescent="0.25">
      <c r="A73">
        <v>2023</v>
      </c>
      <c r="B73" t="s">
        <v>387</v>
      </c>
      <c r="C73" t="s">
        <v>397</v>
      </c>
      <c r="D73">
        <v>1</v>
      </c>
      <c r="E73">
        <v>0</v>
      </c>
      <c r="F73">
        <v>0</v>
      </c>
      <c r="G73">
        <v>1</v>
      </c>
    </row>
    <row r="74" spans="1:7" x14ac:dyDescent="0.25">
      <c r="A74">
        <v>2023</v>
      </c>
      <c r="B74" t="s">
        <v>387</v>
      </c>
      <c r="C74" t="s">
        <v>398</v>
      </c>
      <c r="D74">
        <v>2</v>
      </c>
      <c r="E74">
        <v>0</v>
      </c>
      <c r="F74">
        <v>0</v>
      </c>
      <c r="G74">
        <v>2</v>
      </c>
    </row>
    <row r="75" spans="1:7" x14ac:dyDescent="0.25">
      <c r="A75">
        <v>2023</v>
      </c>
      <c r="B75" t="s">
        <v>387</v>
      </c>
      <c r="C75" t="s">
        <v>363</v>
      </c>
      <c r="D75">
        <v>4</v>
      </c>
      <c r="E75">
        <v>0</v>
      </c>
      <c r="F75">
        <v>0</v>
      </c>
      <c r="G75">
        <v>4</v>
      </c>
    </row>
    <row r="76" spans="1:7" x14ac:dyDescent="0.25">
      <c r="A76">
        <v>2023</v>
      </c>
      <c r="B76" t="s">
        <v>387</v>
      </c>
      <c r="C76" t="s">
        <v>353</v>
      </c>
      <c r="D76">
        <v>4</v>
      </c>
      <c r="E76">
        <v>0</v>
      </c>
      <c r="F76">
        <v>0</v>
      </c>
      <c r="G76">
        <v>4</v>
      </c>
    </row>
    <row r="77" spans="1:7" x14ac:dyDescent="0.25">
      <c r="A77">
        <v>2023</v>
      </c>
      <c r="B77" t="s">
        <v>388</v>
      </c>
      <c r="C77" t="s">
        <v>354</v>
      </c>
      <c r="D77">
        <v>5</v>
      </c>
      <c r="E77">
        <v>0</v>
      </c>
      <c r="F77">
        <v>0</v>
      </c>
      <c r="G77">
        <v>5</v>
      </c>
    </row>
    <row r="78" spans="1:7" x14ac:dyDescent="0.25">
      <c r="A78">
        <v>2023</v>
      </c>
      <c r="B78" t="s">
        <v>388</v>
      </c>
      <c r="C78" t="s">
        <v>397</v>
      </c>
      <c r="D78">
        <v>1</v>
      </c>
      <c r="E78">
        <v>2</v>
      </c>
      <c r="F78">
        <v>0</v>
      </c>
      <c r="G78">
        <v>3</v>
      </c>
    </row>
    <row r="79" spans="1:7" x14ac:dyDescent="0.25">
      <c r="A79">
        <v>2023</v>
      </c>
      <c r="B79" t="s">
        <v>388</v>
      </c>
      <c r="C79" t="s">
        <v>398</v>
      </c>
      <c r="D79">
        <v>2</v>
      </c>
      <c r="E79">
        <v>0</v>
      </c>
      <c r="F79">
        <v>0</v>
      </c>
      <c r="G79">
        <v>2</v>
      </c>
    </row>
    <row r="80" spans="1:7" x14ac:dyDescent="0.25">
      <c r="A80">
        <v>2023</v>
      </c>
      <c r="B80" t="s">
        <v>388</v>
      </c>
      <c r="C80" t="s">
        <v>363</v>
      </c>
      <c r="D80">
        <v>4</v>
      </c>
      <c r="E80">
        <v>0</v>
      </c>
      <c r="F80">
        <v>0</v>
      </c>
      <c r="G80">
        <v>4</v>
      </c>
    </row>
    <row r="81" spans="1:7" x14ac:dyDescent="0.25">
      <c r="A81">
        <v>2023</v>
      </c>
      <c r="B81" t="s">
        <v>388</v>
      </c>
      <c r="C81" t="s">
        <v>353</v>
      </c>
      <c r="D81">
        <v>4</v>
      </c>
      <c r="E81">
        <v>0</v>
      </c>
      <c r="F81">
        <v>0</v>
      </c>
      <c r="G81">
        <v>4</v>
      </c>
    </row>
    <row r="82" spans="1:7" x14ac:dyDescent="0.25">
      <c r="A82">
        <v>2023</v>
      </c>
      <c r="B82" t="s">
        <v>389</v>
      </c>
      <c r="C82" t="s">
        <v>354</v>
      </c>
      <c r="D82">
        <v>5</v>
      </c>
      <c r="E82">
        <v>0</v>
      </c>
      <c r="F82">
        <v>0</v>
      </c>
      <c r="G82">
        <v>5</v>
      </c>
    </row>
    <row r="83" spans="1:7" x14ac:dyDescent="0.25">
      <c r="A83">
        <v>2023</v>
      </c>
      <c r="B83" t="s">
        <v>389</v>
      </c>
      <c r="C83" t="s">
        <v>397</v>
      </c>
      <c r="D83">
        <v>3</v>
      </c>
      <c r="E83">
        <v>0</v>
      </c>
      <c r="F83">
        <v>0</v>
      </c>
      <c r="G83">
        <v>3</v>
      </c>
    </row>
    <row r="84" spans="1:7" x14ac:dyDescent="0.25">
      <c r="A84">
        <v>2023</v>
      </c>
      <c r="B84" t="s">
        <v>389</v>
      </c>
      <c r="C84" t="s">
        <v>398</v>
      </c>
      <c r="D84">
        <v>2</v>
      </c>
      <c r="E84">
        <v>0</v>
      </c>
      <c r="F84">
        <v>0</v>
      </c>
      <c r="G84">
        <v>2</v>
      </c>
    </row>
    <row r="85" spans="1:7" x14ac:dyDescent="0.25">
      <c r="A85">
        <v>2023</v>
      </c>
      <c r="B85" t="s">
        <v>389</v>
      </c>
      <c r="C85" t="s">
        <v>363</v>
      </c>
      <c r="D85">
        <v>4</v>
      </c>
      <c r="E85">
        <v>0</v>
      </c>
      <c r="F85">
        <v>0</v>
      </c>
      <c r="G85">
        <v>4</v>
      </c>
    </row>
    <row r="86" spans="1:7" x14ac:dyDescent="0.25">
      <c r="A86">
        <v>2023</v>
      </c>
      <c r="B86" t="s">
        <v>389</v>
      </c>
      <c r="C86" t="s">
        <v>353</v>
      </c>
      <c r="D86">
        <v>4</v>
      </c>
      <c r="E86">
        <v>0</v>
      </c>
      <c r="F86">
        <v>0</v>
      </c>
      <c r="G86">
        <v>4</v>
      </c>
    </row>
    <row r="87" spans="1:7" x14ac:dyDescent="0.25">
      <c r="A87">
        <v>2023</v>
      </c>
      <c r="B87" t="s">
        <v>390</v>
      </c>
      <c r="C87" t="s">
        <v>354</v>
      </c>
      <c r="D87">
        <v>5</v>
      </c>
      <c r="E87">
        <v>0</v>
      </c>
      <c r="F87">
        <v>0</v>
      </c>
      <c r="G87">
        <v>5</v>
      </c>
    </row>
    <row r="88" spans="1:7" x14ac:dyDescent="0.25">
      <c r="A88">
        <v>2023</v>
      </c>
      <c r="B88" t="s">
        <v>390</v>
      </c>
      <c r="C88" t="s">
        <v>397</v>
      </c>
      <c r="D88">
        <v>3</v>
      </c>
      <c r="E88">
        <v>0</v>
      </c>
      <c r="F88">
        <v>0</v>
      </c>
      <c r="G88">
        <v>3</v>
      </c>
    </row>
    <row r="89" spans="1:7" x14ac:dyDescent="0.25">
      <c r="A89">
        <v>2023</v>
      </c>
      <c r="B89" t="s">
        <v>390</v>
      </c>
      <c r="C89" t="s">
        <v>398</v>
      </c>
      <c r="D89">
        <v>2</v>
      </c>
      <c r="E89">
        <v>0</v>
      </c>
      <c r="F89">
        <v>0</v>
      </c>
      <c r="G89">
        <v>2</v>
      </c>
    </row>
    <row r="90" spans="1:7" x14ac:dyDescent="0.25">
      <c r="A90">
        <v>2023</v>
      </c>
      <c r="B90" t="s">
        <v>390</v>
      </c>
      <c r="C90" t="s">
        <v>363</v>
      </c>
      <c r="D90">
        <v>4</v>
      </c>
      <c r="E90">
        <v>0</v>
      </c>
      <c r="F90">
        <v>0</v>
      </c>
      <c r="G90">
        <v>4</v>
      </c>
    </row>
    <row r="91" spans="1:7" x14ac:dyDescent="0.25">
      <c r="A91">
        <v>2023</v>
      </c>
      <c r="B91" t="s">
        <v>390</v>
      </c>
      <c r="C91" t="s">
        <v>353</v>
      </c>
      <c r="D91">
        <v>4</v>
      </c>
      <c r="E91">
        <v>0</v>
      </c>
      <c r="F91">
        <v>0</v>
      </c>
      <c r="G91">
        <v>4</v>
      </c>
    </row>
    <row r="92" spans="1:7" x14ac:dyDescent="0.25">
      <c r="A92">
        <v>2023</v>
      </c>
      <c r="B92" t="s">
        <v>391</v>
      </c>
      <c r="C92" t="s">
        <v>354</v>
      </c>
      <c r="D92">
        <v>5</v>
      </c>
      <c r="E92">
        <v>0</v>
      </c>
      <c r="F92">
        <v>0</v>
      </c>
      <c r="G92">
        <v>5</v>
      </c>
    </row>
    <row r="93" spans="1:7" x14ac:dyDescent="0.25">
      <c r="A93">
        <v>2023</v>
      </c>
      <c r="B93" t="s">
        <v>391</v>
      </c>
      <c r="C93" t="s">
        <v>397</v>
      </c>
      <c r="D93">
        <v>3</v>
      </c>
      <c r="E93">
        <v>0</v>
      </c>
      <c r="F93">
        <v>0</v>
      </c>
      <c r="G93">
        <v>3</v>
      </c>
    </row>
    <row r="94" spans="1:7" x14ac:dyDescent="0.25">
      <c r="A94">
        <v>2023</v>
      </c>
      <c r="B94" t="s">
        <v>391</v>
      </c>
      <c r="C94" t="s">
        <v>398</v>
      </c>
      <c r="D94">
        <v>2</v>
      </c>
      <c r="E94">
        <v>0</v>
      </c>
      <c r="F94">
        <v>0</v>
      </c>
      <c r="G94">
        <v>2</v>
      </c>
    </row>
    <row r="95" spans="1:7" x14ac:dyDescent="0.25">
      <c r="A95">
        <v>2023</v>
      </c>
      <c r="B95" t="s">
        <v>391</v>
      </c>
      <c r="C95" t="s">
        <v>363</v>
      </c>
      <c r="D95">
        <v>4</v>
      </c>
      <c r="E95">
        <v>0</v>
      </c>
      <c r="F95">
        <v>0</v>
      </c>
      <c r="G95">
        <v>4</v>
      </c>
    </row>
    <row r="96" spans="1:7" x14ac:dyDescent="0.25">
      <c r="A96">
        <v>2023</v>
      </c>
      <c r="B96" t="s">
        <v>391</v>
      </c>
      <c r="C96" t="s">
        <v>353</v>
      </c>
      <c r="D96">
        <v>4</v>
      </c>
      <c r="E96">
        <v>0</v>
      </c>
      <c r="F96">
        <v>0</v>
      </c>
      <c r="G96">
        <v>4</v>
      </c>
    </row>
    <row r="97" spans="1:7" x14ac:dyDescent="0.25">
      <c r="A97">
        <v>2023</v>
      </c>
      <c r="B97" t="s">
        <v>392</v>
      </c>
      <c r="C97" t="s">
        <v>354</v>
      </c>
      <c r="D97">
        <v>5</v>
      </c>
      <c r="E97">
        <v>0</v>
      </c>
      <c r="F97">
        <v>0</v>
      </c>
      <c r="G97">
        <v>5</v>
      </c>
    </row>
    <row r="98" spans="1:7" x14ac:dyDescent="0.25">
      <c r="A98">
        <v>2023</v>
      </c>
      <c r="B98" t="s">
        <v>392</v>
      </c>
      <c r="C98" t="s">
        <v>397</v>
      </c>
      <c r="D98">
        <v>3</v>
      </c>
      <c r="E98">
        <v>0</v>
      </c>
      <c r="F98">
        <v>0</v>
      </c>
      <c r="G98">
        <v>3</v>
      </c>
    </row>
    <row r="99" spans="1:7" x14ac:dyDescent="0.25">
      <c r="A99">
        <v>2023</v>
      </c>
      <c r="B99" t="s">
        <v>392</v>
      </c>
      <c r="C99" t="s">
        <v>398</v>
      </c>
      <c r="D99">
        <v>2</v>
      </c>
      <c r="E99">
        <v>0</v>
      </c>
      <c r="F99">
        <v>0</v>
      </c>
      <c r="G99">
        <v>2</v>
      </c>
    </row>
    <row r="100" spans="1:7" x14ac:dyDescent="0.25">
      <c r="A100">
        <v>2023</v>
      </c>
      <c r="B100" t="s">
        <v>392</v>
      </c>
      <c r="C100" t="s">
        <v>363</v>
      </c>
      <c r="D100">
        <v>4</v>
      </c>
      <c r="E100">
        <v>0</v>
      </c>
      <c r="F100">
        <v>0</v>
      </c>
      <c r="G100">
        <v>4</v>
      </c>
    </row>
    <row r="101" spans="1:7" x14ac:dyDescent="0.25">
      <c r="A101">
        <v>2023</v>
      </c>
      <c r="B101" t="s">
        <v>392</v>
      </c>
      <c r="C101" t="s">
        <v>353</v>
      </c>
      <c r="D101">
        <v>4</v>
      </c>
      <c r="E101">
        <v>2</v>
      </c>
      <c r="F101">
        <v>0</v>
      </c>
      <c r="G101">
        <v>6</v>
      </c>
    </row>
    <row r="102" spans="1:7" x14ac:dyDescent="0.25">
      <c r="A102">
        <v>2023</v>
      </c>
      <c r="B102" t="s">
        <v>393</v>
      </c>
      <c r="C102" t="s">
        <v>354</v>
      </c>
      <c r="D102">
        <v>5</v>
      </c>
      <c r="E102">
        <v>0</v>
      </c>
      <c r="F102">
        <v>0</v>
      </c>
      <c r="G102">
        <v>5</v>
      </c>
    </row>
    <row r="103" spans="1:7" x14ac:dyDescent="0.25">
      <c r="A103">
        <v>2023</v>
      </c>
      <c r="B103" t="s">
        <v>393</v>
      </c>
      <c r="C103" t="s">
        <v>397</v>
      </c>
      <c r="D103">
        <v>3</v>
      </c>
      <c r="E103">
        <v>0</v>
      </c>
      <c r="F103">
        <v>0</v>
      </c>
      <c r="G103">
        <v>3</v>
      </c>
    </row>
    <row r="104" spans="1:7" x14ac:dyDescent="0.25">
      <c r="A104">
        <v>2023</v>
      </c>
      <c r="B104" t="s">
        <v>393</v>
      </c>
      <c r="C104" t="s">
        <v>398</v>
      </c>
      <c r="D104">
        <v>2</v>
      </c>
      <c r="E104">
        <v>0</v>
      </c>
      <c r="F104">
        <v>0</v>
      </c>
      <c r="G104">
        <v>2</v>
      </c>
    </row>
    <row r="105" spans="1:7" x14ac:dyDescent="0.25">
      <c r="A105">
        <v>2023</v>
      </c>
      <c r="B105" t="s">
        <v>393</v>
      </c>
      <c r="C105" t="s">
        <v>363</v>
      </c>
      <c r="D105">
        <v>4</v>
      </c>
      <c r="E105">
        <v>1</v>
      </c>
      <c r="F105">
        <v>0</v>
      </c>
      <c r="G105">
        <v>5</v>
      </c>
    </row>
    <row r="106" spans="1:7" x14ac:dyDescent="0.25">
      <c r="A106">
        <v>2023</v>
      </c>
      <c r="B106" t="s">
        <v>393</v>
      </c>
      <c r="C106" t="s">
        <v>353</v>
      </c>
      <c r="D106">
        <v>6</v>
      </c>
      <c r="E106">
        <v>0</v>
      </c>
      <c r="F106">
        <v>0</v>
      </c>
      <c r="G106">
        <v>6</v>
      </c>
    </row>
    <row r="107" spans="1:7" x14ac:dyDescent="0.25">
      <c r="A107">
        <v>2023</v>
      </c>
      <c r="B107" t="s">
        <v>394</v>
      </c>
      <c r="C107" t="s">
        <v>354</v>
      </c>
      <c r="D107">
        <v>5</v>
      </c>
      <c r="E107">
        <v>0</v>
      </c>
      <c r="F107">
        <v>0</v>
      </c>
      <c r="G107">
        <v>5</v>
      </c>
    </row>
    <row r="108" spans="1:7" x14ac:dyDescent="0.25">
      <c r="A108">
        <v>2023</v>
      </c>
      <c r="B108" t="s">
        <v>394</v>
      </c>
      <c r="C108" t="s">
        <v>397</v>
      </c>
      <c r="D108">
        <v>3</v>
      </c>
      <c r="E108">
        <v>0</v>
      </c>
      <c r="F108">
        <v>0</v>
      </c>
      <c r="G108">
        <v>3</v>
      </c>
    </row>
    <row r="109" spans="1:7" x14ac:dyDescent="0.25">
      <c r="A109">
        <v>2023</v>
      </c>
      <c r="B109" t="s">
        <v>394</v>
      </c>
      <c r="C109" t="s">
        <v>398</v>
      </c>
      <c r="D109">
        <v>2</v>
      </c>
      <c r="E109">
        <v>0</v>
      </c>
      <c r="F109">
        <v>0</v>
      </c>
      <c r="G109">
        <v>2</v>
      </c>
    </row>
    <row r="110" spans="1:7" x14ac:dyDescent="0.25">
      <c r="A110">
        <v>2023</v>
      </c>
      <c r="B110" t="s">
        <v>394</v>
      </c>
      <c r="C110" t="s">
        <v>363</v>
      </c>
      <c r="D110">
        <v>5</v>
      </c>
      <c r="E110">
        <v>1</v>
      </c>
      <c r="F110">
        <v>0</v>
      </c>
      <c r="G110">
        <v>6</v>
      </c>
    </row>
    <row r="111" spans="1:7" x14ac:dyDescent="0.25">
      <c r="A111">
        <v>2023</v>
      </c>
      <c r="B111" t="s">
        <v>394</v>
      </c>
      <c r="C111" t="s">
        <v>353</v>
      </c>
      <c r="D111">
        <v>6</v>
      </c>
      <c r="E111">
        <v>0</v>
      </c>
      <c r="F111">
        <v>0</v>
      </c>
      <c r="G111">
        <v>6</v>
      </c>
    </row>
    <row r="112" spans="1:7" x14ac:dyDescent="0.25">
      <c r="A112">
        <v>2023</v>
      </c>
      <c r="B112" t="s">
        <v>395</v>
      </c>
      <c r="C112" t="s">
        <v>354</v>
      </c>
      <c r="D112">
        <v>5</v>
      </c>
      <c r="E112">
        <v>0</v>
      </c>
      <c r="F112">
        <v>0</v>
      </c>
      <c r="G112">
        <v>5</v>
      </c>
    </row>
    <row r="113" spans="1:7" x14ac:dyDescent="0.25">
      <c r="A113">
        <v>2023</v>
      </c>
      <c r="B113" t="s">
        <v>395</v>
      </c>
      <c r="C113" t="s">
        <v>397</v>
      </c>
      <c r="D113">
        <v>3</v>
      </c>
      <c r="E113">
        <v>0</v>
      </c>
      <c r="F113">
        <v>0</v>
      </c>
      <c r="G113">
        <v>3</v>
      </c>
    </row>
    <row r="114" spans="1:7" x14ac:dyDescent="0.25">
      <c r="A114">
        <v>2023</v>
      </c>
      <c r="B114" t="s">
        <v>395</v>
      </c>
      <c r="C114" t="s">
        <v>398</v>
      </c>
      <c r="D114">
        <v>2</v>
      </c>
      <c r="E114">
        <v>0</v>
      </c>
      <c r="F114">
        <v>0</v>
      </c>
      <c r="G114">
        <v>2</v>
      </c>
    </row>
    <row r="115" spans="1:7" x14ac:dyDescent="0.25">
      <c r="A115">
        <v>2023</v>
      </c>
      <c r="B115" t="s">
        <v>395</v>
      </c>
      <c r="C115" t="s">
        <v>363</v>
      </c>
      <c r="D115">
        <v>6</v>
      </c>
      <c r="E115">
        <v>0</v>
      </c>
      <c r="F115">
        <v>0</v>
      </c>
      <c r="G115">
        <v>6</v>
      </c>
    </row>
    <row r="116" spans="1:7" x14ac:dyDescent="0.25">
      <c r="A116">
        <v>2023</v>
      </c>
      <c r="B116" t="s">
        <v>395</v>
      </c>
      <c r="C116" t="s">
        <v>353</v>
      </c>
      <c r="D116">
        <v>6</v>
      </c>
      <c r="E116">
        <v>0</v>
      </c>
      <c r="F116">
        <v>0</v>
      </c>
      <c r="G116">
        <v>6</v>
      </c>
    </row>
    <row r="117" spans="1:7" x14ac:dyDescent="0.25">
      <c r="A117">
        <v>2024</v>
      </c>
      <c r="B117" t="s">
        <v>143</v>
      </c>
      <c r="C117" t="s">
        <v>354</v>
      </c>
      <c r="D117">
        <v>5</v>
      </c>
      <c r="E117">
        <v>0</v>
      </c>
      <c r="F117">
        <v>0</v>
      </c>
      <c r="G117">
        <v>5</v>
      </c>
    </row>
    <row r="118" spans="1:7" x14ac:dyDescent="0.25">
      <c r="A118">
        <v>2024</v>
      </c>
      <c r="B118" t="s">
        <v>143</v>
      </c>
      <c r="C118" t="s">
        <v>397</v>
      </c>
      <c r="D118">
        <v>3</v>
      </c>
      <c r="E118">
        <v>0</v>
      </c>
      <c r="F118">
        <v>0</v>
      </c>
      <c r="G118">
        <v>3</v>
      </c>
    </row>
    <row r="119" spans="1:7" x14ac:dyDescent="0.25">
      <c r="A119">
        <v>2024</v>
      </c>
      <c r="B119" t="s">
        <v>143</v>
      </c>
      <c r="C119" t="s">
        <v>398</v>
      </c>
      <c r="D119">
        <v>2</v>
      </c>
      <c r="E119">
        <v>1</v>
      </c>
      <c r="F119">
        <v>0</v>
      </c>
      <c r="G119">
        <v>3</v>
      </c>
    </row>
    <row r="120" spans="1:7" x14ac:dyDescent="0.25">
      <c r="A120">
        <v>2024</v>
      </c>
      <c r="B120" t="s">
        <v>143</v>
      </c>
      <c r="C120" t="s">
        <v>363</v>
      </c>
      <c r="D120">
        <v>6</v>
      </c>
      <c r="E120">
        <v>0</v>
      </c>
      <c r="F120">
        <v>0</v>
      </c>
      <c r="G120">
        <v>6</v>
      </c>
    </row>
    <row r="121" spans="1:7" x14ac:dyDescent="0.25">
      <c r="A121">
        <v>2024</v>
      </c>
      <c r="B121" t="s">
        <v>143</v>
      </c>
      <c r="C121" t="s">
        <v>353</v>
      </c>
      <c r="D121">
        <v>6</v>
      </c>
      <c r="E121">
        <v>0</v>
      </c>
      <c r="F121">
        <v>0</v>
      </c>
      <c r="G121">
        <v>6</v>
      </c>
    </row>
    <row r="122" spans="1:7" x14ac:dyDescent="0.25">
      <c r="A122">
        <v>2024</v>
      </c>
      <c r="B122" t="s">
        <v>144</v>
      </c>
      <c r="C122" t="s">
        <v>354</v>
      </c>
      <c r="D122">
        <v>5</v>
      </c>
      <c r="E122">
        <v>0</v>
      </c>
      <c r="F122">
        <v>0</v>
      </c>
      <c r="G122">
        <v>5</v>
      </c>
    </row>
    <row r="123" spans="1:7" x14ac:dyDescent="0.25">
      <c r="A123">
        <v>2024</v>
      </c>
      <c r="B123" t="s">
        <v>144</v>
      </c>
      <c r="C123" t="s">
        <v>397</v>
      </c>
      <c r="D123">
        <v>3</v>
      </c>
      <c r="E123">
        <v>2</v>
      </c>
      <c r="F123">
        <v>0</v>
      </c>
      <c r="G123">
        <v>5</v>
      </c>
    </row>
    <row r="124" spans="1:7" x14ac:dyDescent="0.25">
      <c r="A124">
        <v>2024</v>
      </c>
      <c r="B124" t="s">
        <v>144</v>
      </c>
      <c r="C124" t="s">
        <v>398</v>
      </c>
      <c r="D124">
        <v>3</v>
      </c>
      <c r="E124">
        <v>0</v>
      </c>
      <c r="F124">
        <v>0</v>
      </c>
      <c r="G124">
        <v>3</v>
      </c>
    </row>
    <row r="125" spans="1:7" x14ac:dyDescent="0.25">
      <c r="A125">
        <v>2024</v>
      </c>
      <c r="B125" t="s">
        <v>144</v>
      </c>
      <c r="C125" t="s">
        <v>363</v>
      </c>
      <c r="D125">
        <v>6</v>
      </c>
      <c r="E125">
        <v>0</v>
      </c>
      <c r="F125">
        <v>0</v>
      </c>
      <c r="G125">
        <v>6</v>
      </c>
    </row>
    <row r="126" spans="1:7" x14ac:dyDescent="0.25">
      <c r="A126">
        <v>2024</v>
      </c>
      <c r="B126" t="s">
        <v>144</v>
      </c>
      <c r="C126" t="s">
        <v>353</v>
      </c>
      <c r="D126">
        <v>6</v>
      </c>
      <c r="E126">
        <v>0</v>
      </c>
      <c r="F126">
        <v>0</v>
      </c>
      <c r="G126">
        <v>6</v>
      </c>
    </row>
    <row r="127" spans="1:7" x14ac:dyDescent="0.25">
      <c r="A127">
        <v>2024</v>
      </c>
      <c r="B127" t="s">
        <v>145</v>
      </c>
      <c r="C127" t="s">
        <v>354</v>
      </c>
      <c r="D127">
        <v>5</v>
      </c>
      <c r="E127">
        <v>0</v>
      </c>
      <c r="F127">
        <v>0</v>
      </c>
      <c r="G127">
        <v>5</v>
      </c>
    </row>
    <row r="128" spans="1:7" x14ac:dyDescent="0.25">
      <c r="A128">
        <v>2024</v>
      </c>
      <c r="B128" t="s">
        <v>145</v>
      </c>
      <c r="C128" t="s">
        <v>397</v>
      </c>
      <c r="D128">
        <v>5</v>
      </c>
      <c r="E128">
        <v>0</v>
      </c>
      <c r="F128">
        <v>0</v>
      </c>
      <c r="G128">
        <v>5</v>
      </c>
    </row>
    <row r="129" spans="1:7" x14ac:dyDescent="0.25">
      <c r="A129">
        <v>2024</v>
      </c>
      <c r="B129" t="s">
        <v>145</v>
      </c>
      <c r="C129" t="s">
        <v>398</v>
      </c>
      <c r="D129">
        <v>3</v>
      </c>
      <c r="E129">
        <v>0</v>
      </c>
      <c r="F129">
        <v>0</v>
      </c>
      <c r="G129">
        <v>3</v>
      </c>
    </row>
    <row r="130" spans="1:7" x14ac:dyDescent="0.25">
      <c r="A130">
        <v>2024</v>
      </c>
      <c r="B130" t="s">
        <v>145</v>
      </c>
      <c r="C130" t="s">
        <v>363</v>
      </c>
      <c r="D130">
        <v>6</v>
      </c>
      <c r="E130">
        <v>0</v>
      </c>
      <c r="F130">
        <v>0</v>
      </c>
      <c r="G130">
        <v>6</v>
      </c>
    </row>
    <row r="131" spans="1:7" x14ac:dyDescent="0.25">
      <c r="A131">
        <v>2024</v>
      </c>
      <c r="B131" t="s">
        <v>145</v>
      </c>
      <c r="C131" t="s">
        <v>353</v>
      </c>
      <c r="D131">
        <v>6</v>
      </c>
      <c r="E131">
        <v>0</v>
      </c>
      <c r="F131">
        <v>0</v>
      </c>
      <c r="G131">
        <v>6</v>
      </c>
    </row>
    <row r="132" spans="1:7" x14ac:dyDescent="0.25">
      <c r="A132">
        <v>2024</v>
      </c>
      <c r="B132" t="s">
        <v>387</v>
      </c>
      <c r="C132" t="s">
        <v>354</v>
      </c>
      <c r="D132">
        <v>5</v>
      </c>
      <c r="E132">
        <v>0</v>
      </c>
      <c r="F132">
        <v>0</v>
      </c>
      <c r="G132">
        <v>5</v>
      </c>
    </row>
    <row r="133" spans="1:7" x14ac:dyDescent="0.25">
      <c r="A133">
        <v>2024</v>
      </c>
      <c r="B133" t="s">
        <v>387</v>
      </c>
      <c r="C133" t="s">
        <v>397</v>
      </c>
      <c r="D133">
        <v>5</v>
      </c>
      <c r="E133">
        <v>0</v>
      </c>
      <c r="F133">
        <v>0</v>
      </c>
      <c r="G133">
        <v>5</v>
      </c>
    </row>
    <row r="134" spans="1:7" x14ac:dyDescent="0.25">
      <c r="A134">
        <v>2024</v>
      </c>
      <c r="B134" t="s">
        <v>387</v>
      </c>
      <c r="C134" t="s">
        <v>398</v>
      </c>
      <c r="D134">
        <v>3</v>
      </c>
      <c r="E134">
        <v>0</v>
      </c>
      <c r="F134">
        <v>0</v>
      </c>
      <c r="G134">
        <v>3</v>
      </c>
    </row>
    <row r="135" spans="1:7" x14ac:dyDescent="0.25">
      <c r="A135">
        <v>2024</v>
      </c>
      <c r="B135" t="s">
        <v>387</v>
      </c>
      <c r="C135" t="s">
        <v>363</v>
      </c>
      <c r="D135">
        <v>6</v>
      </c>
      <c r="E135">
        <v>0</v>
      </c>
      <c r="F135">
        <v>0</v>
      </c>
      <c r="G135">
        <v>6</v>
      </c>
    </row>
    <row r="136" spans="1:7" x14ac:dyDescent="0.25">
      <c r="A136">
        <v>2024</v>
      </c>
      <c r="B136" t="s">
        <v>387</v>
      </c>
      <c r="C136" t="s">
        <v>353</v>
      </c>
      <c r="D136">
        <v>6</v>
      </c>
      <c r="E136">
        <v>1</v>
      </c>
      <c r="F136">
        <v>0</v>
      </c>
      <c r="G136">
        <v>7</v>
      </c>
    </row>
    <row r="137" spans="1:7" x14ac:dyDescent="0.25">
      <c r="A137">
        <v>2024</v>
      </c>
      <c r="B137" t="s">
        <v>388</v>
      </c>
      <c r="C137" t="s">
        <v>354</v>
      </c>
      <c r="D137">
        <v>5</v>
      </c>
      <c r="E137">
        <v>0</v>
      </c>
      <c r="F137">
        <v>0</v>
      </c>
      <c r="G137">
        <v>5</v>
      </c>
    </row>
    <row r="138" spans="1:7" x14ac:dyDescent="0.25">
      <c r="A138">
        <v>2024</v>
      </c>
      <c r="B138" t="s">
        <v>388</v>
      </c>
      <c r="C138" t="s">
        <v>397</v>
      </c>
      <c r="D138">
        <v>5</v>
      </c>
      <c r="E138">
        <v>0</v>
      </c>
      <c r="F138">
        <v>0</v>
      </c>
      <c r="G138">
        <v>5</v>
      </c>
    </row>
    <row r="139" spans="1:7" x14ac:dyDescent="0.25">
      <c r="A139">
        <v>2024</v>
      </c>
      <c r="B139" t="s">
        <v>388</v>
      </c>
      <c r="C139" t="s">
        <v>398</v>
      </c>
      <c r="D139">
        <v>3</v>
      </c>
      <c r="E139">
        <v>1</v>
      </c>
      <c r="F139">
        <v>0</v>
      </c>
      <c r="G139">
        <v>4</v>
      </c>
    </row>
    <row r="140" spans="1:7" x14ac:dyDescent="0.25">
      <c r="A140">
        <v>2024</v>
      </c>
      <c r="B140" t="s">
        <v>388</v>
      </c>
      <c r="C140" t="s">
        <v>363</v>
      </c>
      <c r="D140">
        <v>6</v>
      </c>
      <c r="E140">
        <v>0</v>
      </c>
      <c r="F140">
        <v>0</v>
      </c>
      <c r="G140">
        <v>6</v>
      </c>
    </row>
    <row r="141" spans="1:7" x14ac:dyDescent="0.25">
      <c r="A141">
        <v>2024</v>
      </c>
      <c r="B141" t="s">
        <v>388</v>
      </c>
      <c r="C141" t="s">
        <v>353</v>
      </c>
      <c r="D141">
        <v>7</v>
      </c>
      <c r="E141">
        <v>0</v>
      </c>
      <c r="F141">
        <v>0</v>
      </c>
      <c r="G141">
        <v>7</v>
      </c>
    </row>
    <row r="142" spans="1:7" x14ac:dyDescent="0.25">
      <c r="A142">
        <v>2024</v>
      </c>
      <c r="B142" t="s">
        <v>389</v>
      </c>
      <c r="C142" t="s">
        <v>354</v>
      </c>
      <c r="D142">
        <v>5</v>
      </c>
      <c r="E142">
        <v>0</v>
      </c>
      <c r="F142">
        <v>0</v>
      </c>
      <c r="G142">
        <v>5</v>
      </c>
    </row>
    <row r="143" spans="1:7" x14ac:dyDescent="0.25">
      <c r="A143">
        <v>2024</v>
      </c>
      <c r="B143" t="s">
        <v>389</v>
      </c>
      <c r="C143" t="s">
        <v>397</v>
      </c>
      <c r="D143">
        <v>5</v>
      </c>
      <c r="E143">
        <v>0</v>
      </c>
      <c r="F143">
        <v>0</v>
      </c>
      <c r="G143">
        <v>5</v>
      </c>
    </row>
    <row r="144" spans="1:7" x14ac:dyDescent="0.25">
      <c r="A144">
        <v>2024</v>
      </c>
      <c r="B144" t="s">
        <v>389</v>
      </c>
      <c r="C144" t="s">
        <v>398</v>
      </c>
      <c r="D144">
        <v>4</v>
      </c>
      <c r="E144">
        <v>0</v>
      </c>
      <c r="F144">
        <v>0</v>
      </c>
      <c r="G144">
        <v>4</v>
      </c>
    </row>
    <row r="145" spans="1:7" x14ac:dyDescent="0.25">
      <c r="A145">
        <v>2024</v>
      </c>
      <c r="B145" t="s">
        <v>389</v>
      </c>
      <c r="C145" t="s">
        <v>363</v>
      </c>
      <c r="D145">
        <v>6</v>
      </c>
      <c r="E145">
        <v>0</v>
      </c>
      <c r="F145">
        <v>0</v>
      </c>
      <c r="G145">
        <v>6</v>
      </c>
    </row>
    <row r="146" spans="1:7" x14ac:dyDescent="0.25">
      <c r="A146">
        <v>2024</v>
      </c>
      <c r="B146" t="s">
        <v>389</v>
      </c>
      <c r="C146" t="s">
        <v>353</v>
      </c>
      <c r="D146">
        <v>7</v>
      </c>
      <c r="E146">
        <v>0</v>
      </c>
      <c r="F146">
        <v>0</v>
      </c>
      <c r="G146">
        <v>7</v>
      </c>
    </row>
    <row r="147" spans="1:7" x14ac:dyDescent="0.25">
      <c r="A147">
        <v>2024</v>
      </c>
      <c r="B147" t="s">
        <v>390</v>
      </c>
      <c r="C147" t="s">
        <v>354</v>
      </c>
      <c r="D147">
        <v>5</v>
      </c>
      <c r="E147">
        <v>0</v>
      </c>
      <c r="F147">
        <v>0</v>
      </c>
      <c r="G147">
        <v>5</v>
      </c>
    </row>
    <row r="148" spans="1:7" x14ac:dyDescent="0.25">
      <c r="A148">
        <v>2024</v>
      </c>
      <c r="B148" t="s">
        <v>390</v>
      </c>
      <c r="C148" t="s">
        <v>397</v>
      </c>
      <c r="D148">
        <v>5</v>
      </c>
      <c r="E148">
        <v>0</v>
      </c>
      <c r="F148">
        <v>0</v>
      </c>
      <c r="G148">
        <v>5</v>
      </c>
    </row>
    <row r="149" spans="1:7" x14ac:dyDescent="0.25">
      <c r="A149">
        <v>2024</v>
      </c>
      <c r="B149" t="s">
        <v>390</v>
      </c>
      <c r="C149" t="s">
        <v>398</v>
      </c>
      <c r="D149">
        <v>4</v>
      </c>
      <c r="E149">
        <v>0</v>
      </c>
      <c r="F149">
        <v>0</v>
      </c>
      <c r="G149">
        <v>4</v>
      </c>
    </row>
    <row r="150" spans="1:7" x14ac:dyDescent="0.25">
      <c r="A150">
        <v>2024</v>
      </c>
      <c r="B150" t="s">
        <v>390</v>
      </c>
      <c r="C150" t="s">
        <v>363</v>
      </c>
      <c r="D150">
        <v>6</v>
      </c>
      <c r="E150">
        <v>0</v>
      </c>
      <c r="F150">
        <v>0</v>
      </c>
      <c r="G150">
        <v>6</v>
      </c>
    </row>
    <row r="151" spans="1:7" x14ac:dyDescent="0.25">
      <c r="A151">
        <v>2024</v>
      </c>
      <c r="B151" t="s">
        <v>390</v>
      </c>
      <c r="C151" t="s">
        <v>353</v>
      </c>
      <c r="D151">
        <v>7</v>
      </c>
      <c r="E151">
        <v>1</v>
      </c>
      <c r="F151">
        <v>0</v>
      </c>
      <c r="G151">
        <v>8</v>
      </c>
    </row>
    <row r="152" spans="1:7" x14ac:dyDescent="0.25">
      <c r="A152">
        <v>2024</v>
      </c>
      <c r="B152" t="s">
        <v>391</v>
      </c>
      <c r="C152" t="s">
        <v>354</v>
      </c>
      <c r="D152">
        <v>5</v>
      </c>
      <c r="E152">
        <v>0</v>
      </c>
      <c r="F152">
        <v>0</v>
      </c>
      <c r="G152">
        <v>5</v>
      </c>
    </row>
    <row r="153" spans="1:7" x14ac:dyDescent="0.25">
      <c r="A153">
        <v>2024</v>
      </c>
      <c r="B153" t="s">
        <v>391</v>
      </c>
      <c r="C153" t="s">
        <v>397</v>
      </c>
      <c r="D153">
        <v>5</v>
      </c>
      <c r="E153">
        <v>0</v>
      </c>
      <c r="F153">
        <v>0</v>
      </c>
      <c r="G153">
        <v>5</v>
      </c>
    </row>
    <row r="154" spans="1:7" x14ac:dyDescent="0.25">
      <c r="A154">
        <v>2024</v>
      </c>
      <c r="B154" t="s">
        <v>391</v>
      </c>
      <c r="C154" t="s">
        <v>398</v>
      </c>
      <c r="D154">
        <v>4</v>
      </c>
      <c r="E154">
        <v>0</v>
      </c>
      <c r="F154">
        <v>0</v>
      </c>
      <c r="G154">
        <v>4</v>
      </c>
    </row>
    <row r="155" spans="1:7" x14ac:dyDescent="0.25">
      <c r="A155">
        <v>2024</v>
      </c>
      <c r="B155" t="s">
        <v>391</v>
      </c>
      <c r="C155" t="s">
        <v>363</v>
      </c>
      <c r="D155">
        <v>6</v>
      </c>
      <c r="E155">
        <v>1</v>
      </c>
      <c r="F155">
        <v>0</v>
      </c>
      <c r="G155">
        <v>7</v>
      </c>
    </row>
    <row r="156" spans="1:7" x14ac:dyDescent="0.25">
      <c r="A156">
        <v>2024</v>
      </c>
      <c r="B156" t="s">
        <v>391</v>
      </c>
      <c r="C156" t="s">
        <v>353</v>
      </c>
      <c r="D156">
        <v>8</v>
      </c>
      <c r="E156">
        <v>0</v>
      </c>
      <c r="F156">
        <v>0</v>
      </c>
      <c r="G156">
        <v>8</v>
      </c>
    </row>
    <row r="157" spans="1:7" x14ac:dyDescent="0.25">
      <c r="A157">
        <v>2024</v>
      </c>
      <c r="B157" t="s">
        <v>392</v>
      </c>
      <c r="C157" t="s">
        <v>354</v>
      </c>
      <c r="D157">
        <v>5</v>
      </c>
      <c r="E157">
        <v>1</v>
      </c>
      <c r="F157">
        <v>0</v>
      </c>
      <c r="G157">
        <v>6</v>
      </c>
    </row>
    <row r="158" spans="1:7" x14ac:dyDescent="0.25">
      <c r="A158">
        <v>2024</v>
      </c>
      <c r="B158" t="s">
        <v>392</v>
      </c>
      <c r="C158" t="s">
        <v>397</v>
      </c>
      <c r="D158">
        <v>5</v>
      </c>
      <c r="E158">
        <v>0</v>
      </c>
      <c r="F158">
        <v>0</v>
      </c>
      <c r="G158">
        <v>5</v>
      </c>
    </row>
    <row r="159" spans="1:7" x14ac:dyDescent="0.25">
      <c r="A159">
        <v>2024</v>
      </c>
      <c r="B159" t="s">
        <v>392</v>
      </c>
      <c r="C159" t="s">
        <v>398</v>
      </c>
      <c r="D159">
        <v>4</v>
      </c>
      <c r="E159">
        <v>0</v>
      </c>
      <c r="F159">
        <v>0</v>
      </c>
      <c r="G159">
        <v>4</v>
      </c>
    </row>
    <row r="160" spans="1:7" x14ac:dyDescent="0.25">
      <c r="A160">
        <v>2024</v>
      </c>
      <c r="B160" t="s">
        <v>392</v>
      </c>
      <c r="C160" t="s">
        <v>363</v>
      </c>
      <c r="D160">
        <v>7</v>
      </c>
      <c r="E160">
        <v>0</v>
      </c>
      <c r="F160">
        <v>0</v>
      </c>
      <c r="G160">
        <v>7</v>
      </c>
    </row>
    <row r="161" spans="1:7" x14ac:dyDescent="0.25">
      <c r="A161">
        <v>2024</v>
      </c>
      <c r="B161" t="s">
        <v>392</v>
      </c>
      <c r="C161" t="s">
        <v>353</v>
      </c>
      <c r="D161">
        <v>8</v>
      </c>
      <c r="E161">
        <v>0</v>
      </c>
      <c r="F161">
        <v>0</v>
      </c>
      <c r="G161">
        <v>8</v>
      </c>
    </row>
    <row r="162" spans="1:7" x14ac:dyDescent="0.25">
      <c r="A162">
        <v>2024</v>
      </c>
      <c r="B162" t="s">
        <v>393</v>
      </c>
      <c r="C162" t="s">
        <v>354</v>
      </c>
      <c r="D162">
        <v>6</v>
      </c>
      <c r="E162">
        <v>0</v>
      </c>
      <c r="F162">
        <v>0</v>
      </c>
      <c r="G162">
        <v>6</v>
      </c>
    </row>
    <row r="163" spans="1:7" x14ac:dyDescent="0.25">
      <c r="A163">
        <v>2024</v>
      </c>
      <c r="B163" t="s">
        <v>393</v>
      </c>
      <c r="C163" t="s">
        <v>397</v>
      </c>
      <c r="D163">
        <v>5</v>
      </c>
      <c r="E163">
        <v>1</v>
      </c>
      <c r="F163">
        <v>0</v>
      </c>
      <c r="G163">
        <v>6</v>
      </c>
    </row>
    <row r="164" spans="1:7" x14ac:dyDescent="0.25">
      <c r="A164">
        <v>2024</v>
      </c>
      <c r="B164" t="s">
        <v>393</v>
      </c>
      <c r="C164" t="s">
        <v>398</v>
      </c>
      <c r="D164">
        <v>4</v>
      </c>
      <c r="E164">
        <v>0</v>
      </c>
      <c r="F164">
        <v>0</v>
      </c>
      <c r="G164">
        <v>4</v>
      </c>
    </row>
    <row r="165" spans="1:7" x14ac:dyDescent="0.25">
      <c r="A165">
        <v>2024</v>
      </c>
      <c r="B165" t="s">
        <v>393</v>
      </c>
      <c r="C165" t="s">
        <v>363</v>
      </c>
      <c r="D165">
        <v>7</v>
      </c>
      <c r="E165">
        <v>0</v>
      </c>
      <c r="F165">
        <v>0</v>
      </c>
      <c r="G165">
        <v>7</v>
      </c>
    </row>
    <row r="166" spans="1:7" x14ac:dyDescent="0.25">
      <c r="A166">
        <v>2024</v>
      </c>
      <c r="B166" t="s">
        <v>393</v>
      </c>
      <c r="C166" t="s">
        <v>353</v>
      </c>
      <c r="D166">
        <v>8</v>
      </c>
      <c r="E166">
        <v>0</v>
      </c>
      <c r="F166">
        <v>0</v>
      </c>
      <c r="G166">
        <v>8</v>
      </c>
    </row>
    <row r="167" spans="1:7" x14ac:dyDescent="0.25">
      <c r="A167">
        <v>2024</v>
      </c>
      <c r="B167" t="s">
        <v>394</v>
      </c>
      <c r="C167" t="s">
        <v>354</v>
      </c>
      <c r="D167">
        <v>6</v>
      </c>
      <c r="E167">
        <v>1</v>
      </c>
      <c r="F167">
        <v>0</v>
      </c>
      <c r="G167">
        <v>7</v>
      </c>
    </row>
    <row r="168" spans="1:7" x14ac:dyDescent="0.25">
      <c r="A168">
        <v>2024</v>
      </c>
      <c r="B168" t="s">
        <v>394</v>
      </c>
      <c r="C168" t="s">
        <v>397</v>
      </c>
      <c r="D168">
        <v>6</v>
      </c>
      <c r="E168">
        <v>0</v>
      </c>
      <c r="F168">
        <v>0</v>
      </c>
      <c r="G168">
        <v>6</v>
      </c>
    </row>
    <row r="169" spans="1:7" x14ac:dyDescent="0.25">
      <c r="A169">
        <v>2024</v>
      </c>
      <c r="B169" t="s">
        <v>394</v>
      </c>
      <c r="C169" t="s">
        <v>398</v>
      </c>
      <c r="D169">
        <v>4</v>
      </c>
      <c r="E169">
        <v>1</v>
      </c>
      <c r="F169">
        <v>0</v>
      </c>
      <c r="G169">
        <v>5</v>
      </c>
    </row>
    <row r="170" spans="1:7" x14ac:dyDescent="0.25">
      <c r="A170">
        <v>2024</v>
      </c>
      <c r="B170" t="s">
        <v>394</v>
      </c>
      <c r="C170" t="s">
        <v>363</v>
      </c>
      <c r="D170">
        <v>7</v>
      </c>
      <c r="E170">
        <v>0</v>
      </c>
      <c r="F170">
        <v>0</v>
      </c>
      <c r="G170">
        <v>7</v>
      </c>
    </row>
    <row r="171" spans="1:7" x14ac:dyDescent="0.25">
      <c r="A171">
        <v>2024</v>
      </c>
      <c r="B171" t="s">
        <v>394</v>
      </c>
      <c r="C171" t="s">
        <v>353</v>
      </c>
      <c r="D171">
        <v>8</v>
      </c>
      <c r="E171">
        <v>0</v>
      </c>
      <c r="F171">
        <v>0</v>
      </c>
      <c r="G171">
        <v>8</v>
      </c>
    </row>
    <row r="172" spans="1:7" x14ac:dyDescent="0.25">
      <c r="A172">
        <v>2024</v>
      </c>
      <c r="B172" t="s">
        <v>395</v>
      </c>
      <c r="C172" t="s">
        <v>354</v>
      </c>
      <c r="D172">
        <v>7</v>
      </c>
      <c r="E172">
        <v>0</v>
      </c>
      <c r="F172">
        <v>0</v>
      </c>
      <c r="G172">
        <v>7</v>
      </c>
    </row>
    <row r="173" spans="1:7" x14ac:dyDescent="0.25">
      <c r="A173">
        <v>2024</v>
      </c>
      <c r="B173" t="s">
        <v>395</v>
      </c>
      <c r="C173" t="s">
        <v>397</v>
      </c>
      <c r="D173">
        <v>6</v>
      </c>
      <c r="E173">
        <v>0</v>
      </c>
      <c r="F173">
        <v>0</v>
      </c>
      <c r="G173">
        <v>6</v>
      </c>
    </row>
    <row r="174" spans="1:7" x14ac:dyDescent="0.25">
      <c r="A174">
        <v>2024</v>
      </c>
      <c r="B174" t="s">
        <v>395</v>
      </c>
      <c r="C174" t="s">
        <v>398</v>
      </c>
      <c r="D174">
        <v>5</v>
      </c>
      <c r="E174">
        <v>1</v>
      </c>
      <c r="F174">
        <v>0</v>
      </c>
      <c r="G174">
        <v>6</v>
      </c>
    </row>
    <row r="175" spans="1:7" x14ac:dyDescent="0.25">
      <c r="A175">
        <v>2024</v>
      </c>
      <c r="B175" t="s">
        <v>395</v>
      </c>
      <c r="C175" t="s">
        <v>363</v>
      </c>
      <c r="D175">
        <v>7</v>
      </c>
      <c r="E175">
        <v>0</v>
      </c>
      <c r="F175">
        <v>0</v>
      </c>
      <c r="G175">
        <v>7</v>
      </c>
    </row>
    <row r="176" spans="1:7" x14ac:dyDescent="0.25">
      <c r="A176">
        <v>2024</v>
      </c>
      <c r="B176" t="s">
        <v>395</v>
      </c>
      <c r="C176" t="s">
        <v>353</v>
      </c>
      <c r="D176">
        <v>8</v>
      </c>
      <c r="E176">
        <v>0</v>
      </c>
      <c r="F176">
        <v>0</v>
      </c>
      <c r="G176">
        <v>8</v>
      </c>
    </row>
    <row r="177" spans="1:7" x14ac:dyDescent="0.25">
      <c r="A177">
        <v>2025</v>
      </c>
      <c r="B177" t="s">
        <v>143</v>
      </c>
      <c r="C177" t="s">
        <v>354</v>
      </c>
      <c r="D177">
        <v>7</v>
      </c>
      <c r="E177">
        <v>0</v>
      </c>
      <c r="F177">
        <v>0</v>
      </c>
      <c r="G177">
        <v>7</v>
      </c>
    </row>
    <row r="178" spans="1:7" x14ac:dyDescent="0.25">
      <c r="A178">
        <v>2025</v>
      </c>
      <c r="B178" t="s">
        <v>143</v>
      </c>
      <c r="C178" t="s">
        <v>397</v>
      </c>
      <c r="D178">
        <v>6</v>
      </c>
      <c r="E178">
        <v>0</v>
      </c>
      <c r="F178">
        <v>0</v>
      </c>
      <c r="G178">
        <v>6</v>
      </c>
    </row>
    <row r="179" spans="1:7" x14ac:dyDescent="0.25">
      <c r="A179">
        <v>2025</v>
      </c>
      <c r="B179" t="s">
        <v>143</v>
      </c>
      <c r="C179" t="s">
        <v>398</v>
      </c>
      <c r="D179">
        <v>6</v>
      </c>
      <c r="E179">
        <v>1</v>
      </c>
      <c r="F179">
        <v>0</v>
      </c>
      <c r="G179">
        <v>7</v>
      </c>
    </row>
    <row r="180" spans="1:7" x14ac:dyDescent="0.25">
      <c r="A180">
        <v>2025</v>
      </c>
      <c r="B180" t="s">
        <v>143</v>
      </c>
      <c r="C180" t="s">
        <v>363</v>
      </c>
      <c r="D180">
        <v>7</v>
      </c>
      <c r="E180">
        <v>0</v>
      </c>
      <c r="F180">
        <v>0</v>
      </c>
      <c r="G180">
        <v>7</v>
      </c>
    </row>
    <row r="181" spans="1:7" x14ac:dyDescent="0.25">
      <c r="A181">
        <v>2025</v>
      </c>
      <c r="B181" t="s">
        <v>143</v>
      </c>
      <c r="C181" t="s">
        <v>353</v>
      </c>
      <c r="D181">
        <v>8</v>
      </c>
      <c r="E181">
        <v>0</v>
      </c>
      <c r="F181">
        <v>0</v>
      </c>
      <c r="G181">
        <v>8</v>
      </c>
    </row>
    <row r="182" spans="1:7" x14ac:dyDescent="0.25">
      <c r="A182">
        <v>2025</v>
      </c>
      <c r="B182" t="s">
        <v>144</v>
      </c>
      <c r="C182" t="s">
        <v>354</v>
      </c>
      <c r="D182">
        <v>7</v>
      </c>
      <c r="E182">
        <v>0</v>
      </c>
      <c r="F182">
        <v>0</v>
      </c>
      <c r="G182">
        <v>7</v>
      </c>
    </row>
    <row r="183" spans="1:7" x14ac:dyDescent="0.25">
      <c r="A183">
        <v>2025</v>
      </c>
      <c r="B183" t="s">
        <v>144</v>
      </c>
      <c r="C183" t="s">
        <v>397</v>
      </c>
      <c r="D183">
        <v>6</v>
      </c>
      <c r="E183">
        <v>0</v>
      </c>
      <c r="F183">
        <v>0</v>
      </c>
      <c r="G183">
        <v>6</v>
      </c>
    </row>
    <row r="184" spans="1:7" x14ac:dyDescent="0.25">
      <c r="A184">
        <v>2025</v>
      </c>
      <c r="B184" t="s">
        <v>144</v>
      </c>
      <c r="C184" t="s">
        <v>398</v>
      </c>
      <c r="D184">
        <v>7</v>
      </c>
      <c r="E184">
        <v>0</v>
      </c>
      <c r="F184">
        <v>0</v>
      </c>
      <c r="G184">
        <v>7</v>
      </c>
    </row>
    <row r="185" spans="1:7" x14ac:dyDescent="0.25">
      <c r="A185">
        <v>2025</v>
      </c>
      <c r="B185" t="s">
        <v>144</v>
      </c>
      <c r="C185" t="s">
        <v>363</v>
      </c>
      <c r="D185">
        <v>7</v>
      </c>
      <c r="E185">
        <v>0</v>
      </c>
      <c r="F185">
        <v>0</v>
      </c>
      <c r="G185">
        <v>7</v>
      </c>
    </row>
    <row r="186" spans="1:7" x14ac:dyDescent="0.25">
      <c r="A186">
        <v>2025</v>
      </c>
      <c r="B186" t="s">
        <v>144</v>
      </c>
      <c r="C186" t="s">
        <v>353</v>
      </c>
      <c r="D186">
        <v>8</v>
      </c>
      <c r="E186">
        <v>0</v>
      </c>
      <c r="F186">
        <v>0</v>
      </c>
      <c r="G186">
        <v>8</v>
      </c>
    </row>
    <row r="187" spans="1:7" x14ac:dyDescent="0.25">
      <c r="A187">
        <v>2025</v>
      </c>
      <c r="B187" t="s">
        <v>145</v>
      </c>
      <c r="C187" t="s">
        <v>354</v>
      </c>
      <c r="D187">
        <v>7</v>
      </c>
      <c r="E187">
        <v>0</v>
      </c>
      <c r="F187">
        <v>0</v>
      </c>
      <c r="G187">
        <v>7</v>
      </c>
    </row>
    <row r="188" spans="1:7" x14ac:dyDescent="0.25">
      <c r="A188">
        <v>2025</v>
      </c>
      <c r="B188" t="s">
        <v>145</v>
      </c>
      <c r="C188" t="s">
        <v>397</v>
      </c>
      <c r="D188">
        <v>6</v>
      </c>
      <c r="E188">
        <v>0</v>
      </c>
      <c r="F188">
        <v>0</v>
      </c>
      <c r="G188">
        <v>6</v>
      </c>
    </row>
    <row r="189" spans="1:7" x14ac:dyDescent="0.25">
      <c r="A189">
        <v>2025</v>
      </c>
      <c r="B189" t="s">
        <v>145</v>
      </c>
      <c r="C189" t="s">
        <v>398</v>
      </c>
      <c r="D189">
        <v>7</v>
      </c>
      <c r="E189">
        <v>0</v>
      </c>
      <c r="F189">
        <v>0</v>
      </c>
      <c r="G189">
        <v>7</v>
      </c>
    </row>
    <row r="190" spans="1:7" x14ac:dyDescent="0.25">
      <c r="A190">
        <v>2025</v>
      </c>
      <c r="B190" t="s">
        <v>145</v>
      </c>
      <c r="C190" t="s">
        <v>363</v>
      </c>
      <c r="D190">
        <v>7</v>
      </c>
      <c r="E190">
        <v>0</v>
      </c>
      <c r="F190">
        <v>0</v>
      </c>
      <c r="G190">
        <v>7</v>
      </c>
    </row>
    <row r="191" spans="1:7" x14ac:dyDescent="0.25">
      <c r="A191">
        <v>2025</v>
      </c>
      <c r="B191" t="s">
        <v>145</v>
      </c>
      <c r="C191" t="s">
        <v>353</v>
      </c>
      <c r="D191">
        <v>8</v>
      </c>
      <c r="E191">
        <v>0</v>
      </c>
      <c r="F191">
        <v>0</v>
      </c>
      <c r="G191">
        <v>8</v>
      </c>
    </row>
    <row r="192" spans="1:7" x14ac:dyDescent="0.25">
      <c r="A192">
        <v>2025</v>
      </c>
      <c r="B192" t="s">
        <v>387</v>
      </c>
      <c r="C192" t="s">
        <v>354</v>
      </c>
      <c r="D192">
        <v>7</v>
      </c>
      <c r="E192">
        <v>0</v>
      </c>
      <c r="F192">
        <v>0</v>
      </c>
      <c r="G192">
        <v>7</v>
      </c>
    </row>
    <row r="193" spans="1:7" x14ac:dyDescent="0.25">
      <c r="A193">
        <v>2025</v>
      </c>
      <c r="B193" t="s">
        <v>387</v>
      </c>
      <c r="C193" t="s">
        <v>397</v>
      </c>
      <c r="D193">
        <v>6</v>
      </c>
      <c r="E193">
        <v>0</v>
      </c>
      <c r="F193">
        <v>0</v>
      </c>
      <c r="G193">
        <v>6</v>
      </c>
    </row>
    <row r="194" spans="1:7" x14ac:dyDescent="0.25">
      <c r="A194">
        <v>2025</v>
      </c>
      <c r="B194" t="s">
        <v>387</v>
      </c>
      <c r="C194" t="s">
        <v>398</v>
      </c>
      <c r="D194">
        <v>7</v>
      </c>
      <c r="E194">
        <v>0</v>
      </c>
      <c r="F194">
        <v>0</v>
      </c>
      <c r="G194">
        <v>7</v>
      </c>
    </row>
    <row r="195" spans="1:7" x14ac:dyDescent="0.25">
      <c r="A195">
        <v>2025</v>
      </c>
      <c r="B195" t="s">
        <v>387</v>
      </c>
      <c r="C195" t="s">
        <v>363</v>
      </c>
      <c r="D195">
        <v>7</v>
      </c>
      <c r="E195">
        <v>0</v>
      </c>
      <c r="F195">
        <v>0</v>
      </c>
      <c r="G195">
        <v>7</v>
      </c>
    </row>
    <row r="196" spans="1:7" x14ac:dyDescent="0.25">
      <c r="A196">
        <v>2025</v>
      </c>
      <c r="B196" t="s">
        <v>387</v>
      </c>
      <c r="C196" t="s">
        <v>353</v>
      </c>
      <c r="D196">
        <v>8</v>
      </c>
      <c r="E196">
        <v>0</v>
      </c>
      <c r="F196">
        <v>0</v>
      </c>
      <c r="G196">
        <v>8</v>
      </c>
    </row>
    <row r="197" spans="1:7" x14ac:dyDescent="0.25">
      <c r="A197">
        <v>2025</v>
      </c>
      <c r="B197" t="s">
        <v>388</v>
      </c>
      <c r="C197" t="s">
        <v>354</v>
      </c>
      <c r="D197">
        <v>7</v>
      </c>
      <c r="E197">
        <v>0</v>
      </c>
      <c r="F197">
        <v>0</v>
      </c>
      <c r="G197">
        <v>7</v>
      </c>
    </row>
    <row r="198" spans="1:7" x14ac:dyDescent="0.25">
      <c r="A198">
        <v>2025</v>
      </c>
      <c r="B198" t="s">
        <v>388</v>
      </c>
      <c r="C198" t="s">
        <v>397</v>
      </c>
      <c r="D198">
        <v>6</v>
      </c>
      <c r="E198">
        <v>0</v>
      </c>
      <c r="F198">
        <v>0</v>
      </c>
      <c r="G198">
        <v>6</v>
      </c>
    </row>
    <row r="199" spans="1:7" x14ac:dyDescent="0.25">
      <c r="A199">
        <v>2025</v>
      </c>
      <c r="B199" t="s">
        <v>388</v>
      </c>
      <c r="C199" t="s">
        <v>398</v>
      </c>
      <c r="D199">
        <v>7</v>
      </c>
      <c r="E199">
        <v>0</v>
      </c>
      <c r="F199">
        <v>0</v>
      </c>
      <c r="G199">
        <v>7</v>
      </c>
    </row>
    <row r="200" spans="1:7" x14ac:dyDescent="0.25">
      <c r="A200">
        <v>2025</v>
      </c>
      <c r="B200" t="s">
        <v>388</v>
      </c>
      <c r="C200" t="s">
        <v>363</v>
      </c>
      <c r="D200">
        <v>7</v>
      </c>
      <c r="E200">
        <v>1</v>
      </c>
      <c r="F200">
        <v>0</v>
      </c>
      <c r="G200">
        <v>8</v>
      </c>
    </row>
    <row r="201" spans="1:7" x14ac:dyDescent="0.25">
      <c r="A201">
        <v>2025</v>
      </c>
      <c r="B201" t="s">
        <v>388</v>
      </c>
      <c r="C201" t="s">
        <v>353</v>
      </c>
      <c r="D201">
        <v>8</v>
      </c>
      <c r="E201">
        <v>0</v>
      </c>
      <c r="F201">
        <v>0</v>
      </c>
      <c r="G201">
        <v>8</v>
      </c>
    </row>
    <row r="202" spans="1:7" x14ac:dyDescent="0.25">
      <c r="A202">
        <v>2025</v>
      </c>
      <c r="B202" t="s">
        <v>389</v>
      </c>
      <c r="C202" t="s">
        <v>354</v>
      </c>
      <c r="D202">
        <v>7</v>
      </c>
      <c r="E202">
        <v>0</v>
      </c>
      <c r="F202">
        <v>0</v>
      </c>
      <c r="G202">
        <v>7</v>
      </c>
    </row>
    <row r="203" spans="1:7" x14ac:dyDescent="0.25">
      <c r="A203">
        <v>2025</v>
      </c>
      <c r="B203" t="s">
        <v>389</v>
      </c>
      <c r="C203" t="s">
        <v>397</v>
      </c>
      <c r="D203">
        <v>6</v>
      </c>
      <c r="E203">
        <v>1</v>
      </c>
      <c r="F203">
        <v>0</v>
      </c>
      <c r="G203">
        <v>7</v>
      </c>
    </row>
    <row r="204" spans="1:7" x14ac:dyDescent="0.25">
      <c r="A204">
        <v>2025</v>
      </c>
      <c r="B204" t="s">
        <v>389</v>
      </c>
      <c r="C204" t="s">
        <v>398</v>
      </c>
      <c r="D204">
        <v>7</v>
      </c>
      <c r="E204">
        <v>0</v>
      </c>
      <c r="F204">
        <v>0</v>
      </c>
      <c r="G204">
        <v>7</v>
      </c>
    </row>
    <row r="205" spans="1:7" x14ac:dyDescent="0.25">
      <c r="A205">
        <v>2025</v>
      </c>
      <c r="B205" t="s">
        <v>389</v>
      </c>
      <c r="C205" t="s">
        <v>363</v>
      </c>
      <c r="D205">
        <v>8</v>
      </c>
      <c r="E205">
        <v>0</v>
      </c>
      <c r="F205">
        <v>0</v>
      </c>
      <c r="G205">
        <v>8</v>
      </c>
    </row>
    <row r="206" spans="1:7" x14ac:dyDescent="0.25">
      <c r="A206">
        <v>2025</v>
      </c>
      <c r="B206" t="s">
        <v>389</v>
      </c>
      <c r="C206" t="s">
        <v>353</v>
      </c>
      <c r="D206">
        <v>8</v>
      </c>
      <c r="E206">
        <v>0</v>
      </c>
      <c r="F206">
        <v>0</v>
      </c>
      <c r="G206">
        <v>8</v>
      </c>
    </row>
    <row r="207" spans="1:7" x14ac:dyDescent="0.25">
      <c r="A207">
        <v>2025</v>
      </c>
      <c r="B207" t="s">
        <v>390</v>
      </c>
      <c r="C207" t="s">
        <v>354</v>
      </c>
      <c r="D207">
        <v>7</v>
      </c>
      <c r="E207">
        <v>0</v>
      </c>
      <c r="F207">
        <v>0</v>
      </c>
      <c r="G207">
        <v>7</v>
      </c>
    </row>
    <row r="208" spans="1:7" x14ac:dyDescent="0.25">
      <c r="A208">
        <v>2025</v>
      </c>
      <c r="B208" t="s">
        <v>390</v>
      </c>
      <c r="C208" t="s">
        <v>397</v>
      </c>
      <c r="D208">
        <v>7</v>
      </c>
      <c r="E208">
        <v>1</v>
      </c>
      <c r="F208">
        <v>0</v>
      </c>
      <c r="G208">
        <v>8</v>
      </c>
    </row>
    <row r="209" spans="1:7" x14ac:dyDescent="0.25">
      <c r="A209">
        <v>2025</v>
      </c>
      <c r="B209" t="s">
        <v>390</v>
      </c>
      <c r="C209" t="s">
        <v>398</v>
      </c>
      <c r="D209">
        <v>7</v>
      </c>
      <c r="E209">
        <v>0</v>
      </c>
      <c r="F209">
        <v>0</v>
      </c>
      <c r="G209">
        <v>7</v>
      </c>
    </row>
    <row r="210" spans="1:7" x14ac:dyDescent="0.25">
      <c r="A210">
        <v>2025</v>
      </c>
      <c r="B210" t="s">
        <v>390</v>
      </c>
      <c r="C210" t="s">
        <v>363</v>
      </c>
      <c r="D210">
        <v>8</v>
      </c>
      <c r="E210">
        <v>0</v>
      </c>
      <c r="F210">
        <v>0</v>
      </c>
      <c r="G210">
        <v>8</v>
      </c>
    </row>
    <row r="211" spans="1:7" x14ac:dyDescent="0.25">
      <c r="A211">
        <v>2025</v>
      </c>
      <c r="B211" t="s">
        <v>390</v>
      </c>
      <c r="C211" t="s">
        <v>353</v>
      </c>
      <c r="D211">
        <v>8</v>
      </c>
      <c r="E211">
        <v>0</v>
      </c>
      <c r="F211">
        <v>0</v>
      </c>
      <c r="G211">
        <v>8</v>
      </c>
    </row>
    <row r="212" spans="1:7" x14ac:dyDescent="0.25">
      <c r="A212">
        <v>2025</v>
      </c>
      <c r="B212" t="s">
        <v>391</v>
      </c>
      <c r="C212" t="s">
        <v>354</v>
      </c>
      <c r="D212">
        <v>7</v>
      </c>
      <c r="E212">
        <v>0</v>
      </c>
      <c r="F212">
        <v>1</v>
      </c>
      <c r="G212">
        <v>6</v>
      </c>
    </row>
    <row r="213" spans="1:7" x14ac:dyDescent="0.25">
      <c r="A213">
        <v>2025</v>
      </c>
      <c r="B213" t="s">
        <v>391</v>
      </c>
      <c r="C213" t="s">
        <v>397</v>
      </c>
      <c r="D213">
        <v>8</v>
      </c>
      <c r="E213">
        <v>0</v>
      </c>
      <c r="F213">
        <v>0</v>
      </c>
      <c r="G213">
        <v>8</v>
      </c>
    </row>
    <row r="214" spans="1:7" x14ac:dyDescent="0.25">
      <c r="A214">
        <v>2025</v>
      </c>
      <c r="B214" t="s">
        <v>391</v>
      </c>
      <c r="C214" t="s">
        <v>398</v>
      </c>
      <c r="D214">
        <v>7</v>
      </c>
      <c r="E214">
        <v>0</v>
      </c>
      <c r="F214">
        <v>0</v>
      </c>
      <c r="G214">
        <v>7</v>
      </c>
    </row>
    <row r="215" spans="1:7" x14ac:dyDescent="0.25">
      <c r="A215">
        <v>2025</v>
      </c>
      <c r="B215" t="s">
        <v>391</v>
      </c>
      <c r="C215" t="s">
        <v>363</v>
      </c>
      <c r="D215">
        <v>8</v>
      </c>
      <c r="E215">
        <v>0</v>
      </c>
      <c r="F215">
        <v>0</v>
      </c>
      <c r="G215">
        <v>8</v>
      </c>
    </row>
    <row r="216" spans="1:7" x14ac:dyDescent="0.25">
      <c r="A216">
        <v>2025</v>
      </c>
      <c r="B216" t="s">
        <v>391</v>
      </c>
      <c r="C216" t="s">
        <v>353</v>
      </c>
      <c r="D216">
        <v>8</v>
      </c>
      <c r="E216">
        <v>0</v>
      </c>
      <c r="F216">
        <v>0</v>
      </c>
      <c r="G216">
        <v>8</v>
      </c>
    </row>
    <row r="217" spans="1:7" x14ac:dyDescent="0.25">
      <c r="A217">
        <v>2025</v>
      </c>
      <c r="B217" t="s">
        <v>392</v>
      </c>
      <c r="C217" t="s">
        <v>354</v>
      </c>
      <c r="D217">
        <v>6</v>
      </c>
      <c r="E217">
        <v>1</v>
      </c>
      <c r="F217">
        <v>0</v>
      </c>
      <c r="G217">
        <v>7</v>
      </c>
    </row>
    <row r="218" spans="1:7" x14ac:dyDescent="0.25">
      <c r="A218">
        <v>2025</v>
      </c>
      <c r="B218" t="s">
        <v>392</v>
      </c>
      <c r="C218" t="s">
        <v>397</v>
      </c>
      <c r="D218">
        <v>8</v>
      </c>
      <c r="E218">
        <v>0</v>
      </c>
      <c r="F218">
        <v>0</v>
      </c>
      <c r="G218">
        <v>8</v>
      </c>
    </row>
    <row r="219" spans="1:7" x14ac:dyDescent="0.25">
      <c r="A219">
        <v>2025</v>
      </c>
      <c r="B219" t="s">
        <v>392</v>
      </c>
      <c r="C219" t="s">
        <v>398</v>
      </c>
      <c r="D219">
        <v>7</v>
      </c>
      <c r="E219">
        <v>0</v>
      </c>
      <c r="F219">
        <v>0</v>
      </c>
      <c r="G219">
        <v>7</v>
      </c>
    </row>
    <row r="220" spans="1:7" x14ac:dyDescent="0.25">
      <c r="A220">
        <v>2025</v>
      </c>
      <c r="B220" t="s">
        <v>392</v>
      </c>
      <c r="C220" t="s">
        <v>363</v>
      </c>
      <c r="D220">
        <v>8</v>
      </c>
      <c r="E220">
        <v>1</v>
      </c>
      <c r="F220">
        <v>1</v>
      </c>
      <c r="G220">
        <v>8</v>
      </c>
    </row>
    <row r="221" spans="1:7" x14ac:dyDescent="0.25">
      <c r="A221">
        <v>2025</v>
      </c>
      <c r="B221" t="s">
        <v>392</v>
      </c>
      <c r="C221" t="s">
        <v>353</v>
      </c>
      <c r="D221">
        <v>8</v>
      </c>
      <c r="E221">
        <v>0</v>
      </c>
      <c r="F221">
        <v>0</v>
      </c>
      <c r="G221">
        <v>8</v>
      </c>
    </row>
    <row r="222" spans="1:7" x14ac:dyDescent="0.25">
      <c r="A222">
        <v>2025</v>
      </c>
      <c r="B222" t="s">
        <v>393</v>
      </c>
      <c r="C222" t="s">
        <v>354</v>
      </c>
      <c r="D222">
        <v>7</v>
      </c>
      <c r="E222">
        <v>0</v>
      </c>
      <c r="F222">
        <v>0</v>
      </c>
      <c r="G222">
        <v>7</v>
      </c>
    </row>
    <row r="223" spans="1:7" x14ac:dyDescent="0.25">
      <c r="A223">
        <v>2025</v>
      </c>
      <c r="B223" t="s">
        <v>393</v>
      </c>
      <c r="C223" t="s">
        <v>397</v>
      </c>
      <c r="D223">
        <v>8</v>
      </c>
      <c r="E223">
        <v>0</v>
      </c>
      <c r="F223">
        <v>0</v>
      </c>
      <c r="G223">
        <v>8</v>
      </c>
    </row>
    <row r="224" spans="1:7" x14ac:dyDescent="0.25">
      <c r="A224">
        <v>2025</v>
      </c>
      <c r="B224" t="s">
        <v>393</v>
      </c>
      <c r="C224" t="s">
        <v>398</v>
      </c>
      <c r="D224">
        <v>7</v>
      </c>
      <c r="E224">
        <v>0</v>
      </c>
      <c r="F224">
        <v>0</v>
      </c>
      <c r="G224">
        <v>7</v>
      </c>
    </row>
    <row r="225" spans="1:7" x14ac:dyDescent="0.25">
      <c r="A225">
        <v>2025</v>
      </c>
      <c r="B225" t="s">
        <v>393</v>
      </c>
      <c r="C225" t="s">
        <v>363</v>
      </c>
      <c r="D225">
        <v>8</v>
      </c>
      <c r="E225">
        <v>0</v>
      </c>
      <c r="F225">
        <v>2</v>
      </c>
      <c r="G225">
        <v>6</v>
      </c>
    </row>
    <row r="226" spans="1:7" x14ac:dyDescent="0.25">
      <c r="A226">
        <v>2025</v>
      </c>
      <c r="B226" t="s">
        <v>393</v>
      </c>
      <c r="C226" t="s">
        <v>353</v>
      </c>
      <c r="D226">
        <v>8</v>
      </c>
      <c r="E226">
        <v>0</v>
      </c>
      <c r="F226">
        <v>0</v>
      </c>
      <c r="G226">
        <v>8</v>
      </c>
    </row>
    <row r="227" spans="1:7" x14ac:dyDescent="0.25">
      <c r="A227">
        <v>2025</v>
      </c>
      <c r="B227" t="s">
        <v>394</v>
      </c>
      <c r="C227" t="s">
        <v>354</v>
      </c>
      <c r="D227">
        <v>7</v>
      </c>
      <c r="E227">
        <v>1</v>
      </c>
      <c r="F227">
        <v>0</v>
      </c>
      <c r="G227">
        <v>8</v>
      </c>
    </row>
    <row r="228" spans="1:7" x14ac:dyDescent="0.25">
      <c r="A228">
        <v>2025</v>
      </c>
      <c r="B228" t="s">
        <v>394</v>
      </c>
      <c r="C228" t="s">
        <v>397</v>
      </c>
      <c r="D228">
        <v>8</v>
      </c>
      <c r="E228">
        <v>0</v>
      </c>
      <c r="F228">
        <v>0</v>
      </c>
      <c r="G228">
        <v>8</v>
      </c>
    </row>
    <row r="229" spans="1:7" x14ac:dyDescent="0.25">
      <c r="A229">
        <v>2025</v>
      </c>
      <c r="B229" t="s">
        <v>394</v>
      </c>
      <c r="C229" t="s">
        <v>398</v>
      </c>
      <c r="D229">
        <v>7</v>
      </c>
      <c r="E229">
        <v>0</v>
      </c>
      <c r="F229">
        <v>0</v>
      </c>
      <c r="G229">
        <v>7</v>
      </c>
    </row>
    <row r="230" spans="1:7" x14ac:dyDescent="0.25">
      <c r="A230">
        <v>2025</v>
      </c>
      <c r="B230" t="s">
        <v>394</v>
      </c>
      <c r="C230" t="s">
        <v>363</v>
      </c>
      <c r="D230">
        <v>6</v>
      </c>
      <c r="E230">
        <v>0</v>
      </c>
      <c r="F230">
        <v>0</v>
      </c>
      <c r="G230">
        <v>6</v>
      </c>
    </row>
    <row r="231" spans="1:7" x14ac:dyDescent="0.25">
      <c r="A231">
        <v>2025</v>
      </c>
      <c r="B231" t="s">
        <v>394</v>
      </c>
      <c r="C231" t="s">
        <v>353</v>
      </c>
      <c r="D231">
        <v>8</v>
      </c>
      <c r="E231">
        <v>0</v>
      </c>
      <c r="F231">
        <v>1</v>
      </c>
      <c r="G231">
        <v>7</v>
      </c>
    </row>
    <row r="232" spans="1:7" x14ac:dyDescent="0.25">
      <c r="A232">
        <v>2025</v>
      </c>
      <c r="B232" t="s">
        <v>395</v>
      </c>
      <c r="C232" t="s">
        <v>354</v>
      </c>
      <c r="D232">
        <v>8</v>
      </c>
      <c r="E232">
        <v>0</v>
      </c>
      <c r="F232">
        <v>0</v>
      </c>
      <c r="G232">
        <v>8</v>
      </c>
    </row>
    <row r="233" spans="1:7" x14ac:dyDescent="0.25">
      <c r="A233">
        <v>2025</v>
      </c>
      <c r="B233" t="s">
        <v>395</v>
      </c>
      <c r="C233" t="s">
        <v>397</v>
      </c>
      <c r="D233">
        <v>8</v>
      </c>
      <c r="E233">
        <v>0</v>
      </c>
      <c r="F233">
        <v>1</v>
      </c>
      <c r="G233">
        <v>7</v>
      </c>
    </row>
    <row r="234" spans="1:7" x14ac:dyDescent="0.25">
      <c r="A234">
        <v>2025</v>
      </c>
      <c r="B234" t="s">
        <v>395</v>
      </c>
      <c r="C234" t="s">
        <v>398</v>
      </c>
      <c r="D234">
        <v>7</v>
      </c>
      <c r="E234">
        <v>0</v>
      </c>
      <c r="F234">
        <v>0</v>
      </c>
      <c r="G234">
        <v>7</v>
      </c>
    </row>
    <row r="235" spans="1:7" x14ac:dyDescent="0.25">
      <c r="A235">
        <v>2025</v>
      </c>
      <c r="B235" t="s">
        <v>395</v>
      </c>
      <c r="C235" t="s">
        <v>363</v>
      </c>
      <c r="D235">
        <v>6</v>
      </c>
      <c r="E235">
        <v>0</v>
      </c>
      <c r="F235">
        <v>0</v>
      </c>
      <c r="G235">
        <v>6</v>
      </c>
    </row>
    <row r="236" spans="1:7" x14ac:dyDescent="0.25">
      <c r="A236">
        <v>2025</v>
      </c>
      <c r="B236" t="s">
        <v>395</v>
      </c>
      <c r="C236" t="s">
        <v>353</v>
      </c>
      <c r="D236">
        <v>7</v>
      </c>
      <c r="E236">
        <v>1</v>
      </c>
      <c r="F236">
        <v>1</v>
      </c>
      <c r="G236">
        <v>7</v>
      </c>
    </row>
    <row r="237" spans="1:7" x14ac:dyDescent="0.25">
      <c r="A237">
        <v>2026</v>
      </c>
      <c r="B237" t="s">
        <v>143</v>
      </c>
      <c r="C237" t="s">
        <v>354</v>
      </c>
      <c r="D237">
        <v>8</v>
      </c>
      <c r="E237">
        <v>1</v>
      </c>
      <c r="F237">
        <v>0</v>
      </c>
      <c r="G237">
        <v>9</v>
      </c>
    </row>
    <row r="238" spans="1:7" x14ac:dyDescent="0.25">
      <c r="A238">
        <v>2026</v>
      </c>
      <c r="B238" t="s">
        <v>143</v>
      </c>
      <c r="C238" t="s">
        <v>397</v>
      </c>
      <c r="D238">
        <v>7</v>
      </c>
      <c r="E238">
        <v>0</v>
      </c>
      <c r="F238">
        <v>0</v>
      </c>
      <c r="G238">
        <v>7</v>
      </c>
    </row>
    <row r="239" spans="1:7" x14ac:dyDescent="0.25">
      <c r="A239">
        <v>2026</v>
      </c>
      <c r="B239" t="s">
        <v>143</v>
      </c>
      <c r="C239" t="s">
        <v>398</v>
      </c>
      <c r="D239">
        <v>7</v>
      </c>
      <c r="E239">
        <v>1</v>
      </c>
      <c r="F239">
        <v>1</v>
      </c>
      <c r="G239">
        <v>7</v>
      </c>
    </row>
    <row r="240" spans="1:7" x14ac:dyDescent="0.25">
      <c r="A240">
        <v>2026</v>
      </c>
      <c r="B240" t="s">
        <v>143</v>
      </c>
      <c r="C240" t="s">
        <v>363</v>
      </c>
      <c r="D240">
        <v>6</v>
      </c>
      <c r="E240">
        <v>0</v>
      </c>
      <c r="F240">
        <v>0</v>
      </c>
      <c r="G240">
        <v>6</v>
      </c>
    </row>
    <row r="241" spans="1:7" x14ac:dyDescent="0.25">
      <c r="A241">
        <v>2026</v>
      </c>
      <c r="B241" t="s">
        <v>143</v>
      </c>
      <c r="C241" t="s">
        <v>353</v>
      </c>
      <c r="D241">
        <v>7</v>
      </c>
      <c r="E241">
        <v>0</v>
      </c>
      <c r="F241">
        <v>0</v>
      </c>
      <c r="G241">
        <v>7</v>
      </c>
    </row>
    <row r="242" spans="1:7" x14ac:dyDescent="0.25">
      <c r="A242">
        <v>2026</v>
      </c>
      <c r="B242" t="s">
        <v>144</v>
      </c>
      <c r="C242" t="s">
        <v>354</v>
      </c>
      <c r="D242">
        <v>9</v>
      </c>
      <c r="E242">
        <v>0</v>
      </c>
      <c r="F242">
        <v>0</v>
      </c>
      <c r="G242">
        <v>9</v>
      </c>
    </row>
    <row r="243" spans="1:7" x14ac:dyDescent="0.25">
      <c r="A243">
        <v>2026</v>
      </c>
      <c r="B243" t="s">
        <v>144</v>
      </c>
      <c r="C243" t="s">
        <v>397</v>
      </c>
      <c r="D243">
        <v>7</v>
      </c>
      <c r="E243">
        <v>1</v>
      </c>
      <c r="F243">
        <v>1</v>
      </c>
      <c r="G243">
        <v>7</v>
      </c>
    </row>
    <row r="244" spans="1:7" x14ac:dyDescent="0.25">
      <c r="A244">
        <v>2026</v>
      </c>
      <c r="B244" t="s">
        <v>144</v>
      </c>
      <c r="C244" t="s">
        <v>398</v>
      </c>
      <c r="D244">
        <v>7</v>
      </c>
      <c r="E244">
        <v>2</v>
      </c>
      <c r="F244">
        <v>0</v>
      </c>
      <c r="G244">
        <v>9</v>
      </c>
    </row>
    <row r="245" spans="1:7" x14ac:dyDescent="0.25">
      <c r="A245">
        <v>2026</v>
      </c>
      <c r="B245" t="s">
        <v>144</v>
      </c>
      <c r="C245" t="s">
        <v>363</v>
      </c>
      <c r="D245">
        <v>6</v>
      </c>
      <c r="E245">
        <v>0</v>
      </c>
      <c r="F245">
        <v>1</v>
      </c>
      <c r="G245">
        <v>5</v>
      </c>
    </row>
    <row r="246" spans="1:7" x14ac:dyDescent="0.25">
      <c r="A246">
        <v>2026</v>
      </c>
      <c r="B246" t="s">
        <v>144</v>
      </c>
      <c r="C246" t="s">
        <v>353</v>
      </c>
      <c r="D246">
        <v>7</v>
      </c>
      <c r="E246">
        <v>0</v>
      </c>
      <c r="F246">
        <v>0</v>
      </c>
      <c r="G246">
        <v>7</v>
      </c>
    </row>
    <row r="247" spans="1:7" x14ac:dyDescent="0.25">
      <c r="A247">
        <v>2026</v>
      </c>
      <c r="B247" t="s">
        <v>145</v>
      </c>
      <c r="C247" t="s">
        <v>354</v>
      </c>
      <c r="D247">
        <v>9</v>
      </c>
      <c r="E247">
        <v>0</v>
      </c>
      <c r="F247">
        <v>1</v>
      </c>
      <c r="G247">
        <v>8</v>
      </c>
    </row>
    <row r="248" spans="1:7" x14ac:dyDescent="0.25">
      <c r="A248">
        <v>2026</v>
      </c>
      <c r="B248" t="s">
        <v>145</v>
      </c>
      <c r="C248" t="s">
        <v>397</v>
      </c>
      <c r="D248">
        <v>7</v>
      </c>
      <c r="E248">
        <v>1</v>
      </c>
      <c r="F248">
        <v>1</v>
      </c>
      <c r="G248">
        <v>7</v>
      </c>
    </row>
    <row r="249" spans="1:7" x14ac:dyDescent="0.25">
      <c r="A249">
        <v>2026</v>
      </c>
      <c r="B249" t="s">
        <v>145</v>
      </c>
      <c r="C249" t="s">
        <v>398</v>
      </c>
      <c r="D249">
        <v>9</v>
      </c>
      <c r="E249">
        <v>0</v>
      </c>
      <c r="F249">
        <v>0</v>
      </c>
      <c r="G249">
        <v>9</v>
      </c>
    </row>
    <row r="250" spans="1:7" x14ac:dyDescent="0.25">
      <c r="A250">
        <v>2026</v>
      </c>
      <c r="B250" t="s">
        <v>145</v>
      </c>
      <c r="C250" t="s">
        <v>363</v>
      </c>
      <c r="D250">
        <v>5</v>
      </c>
      <c r="E250">
        <v>1</v>
      </c>
      <c r="F250">
        <v>0</v>
      </c>
      <c r="G250">
        <v>6</v>
      </c>
    </row>
    <row r="251" spans="1:7" x14ac:dyDescent="0.25">
      <c r="A251">
        <v>2026</v>
      </c>
      <c r="B251" t="s">
        <v>145</v>
      </c>
      <c r="C251" t="s">
        <v>353</v>
      </c>
      <c r="D251">
        <v>7</v>
      </c>
      <c r="E251">
        <v>1</v>
      </c>
      <c r="F251">
        <v>0</v>
      </c>
      <c r="G251">
        <v>8</v>
      </c>
    </row>
  </sheetData>
  <phoneticPr fontId="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68E4-2241-4956-A2F6-3B1D8D3D4160}">
  <dimension ref="A1:Y11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5.7109375" style="1" customWidth="1"/>
    <col min="2" max="2" width="14.85546875" customWidth="1"/>
    <col min="3" max="3" width="16.5703125" customWidth="1"/>
    <col min="4" max="4" width="16.7109375" customWidth="1"/>
    <col min="5" max="7" width="20.5703125" customWidth="1"/>
    <col min="8" max="8" width="11.140625" customWidth="1"/>
    <col min="9" max="9" width="10.85546875" customWidth="1"/>
    <col min="10" max="10" width="11.140625" customWidth="1"/>
    <col min="11" max="12" width="10.7109375" customWidth="1"/>
    <col min="13" max="13" width="19.140625" customWidth="1"/>
    <col min="14" max="14" width="16.7109375" customWidth="1"/>
    <col min="15" max="15" width="20.140625" customWidth="1"/>
    <col min="16" max="16" width="15.140625" customWidth="1"/>
    <col min="17" max="17" width="17.42578125" customWidth="1"/>
    <col min="18" max="18" width="13.85546875" customWidth="1"/>
    <col min="19" max="19" width="14.5703125" customWidth="1"/>
    <col min="20" max="20" width="13.140625" customWidth="1"/>
    <col min="21" max="21" width="16.85546875" customWidth="1"/>
    <col min="22" max="23" width="12.140625" customWidth="1"/>
    <col min="24" max="24" width="21" bestFit="1" customWidth="1"/>
    <col min="25" max="25" width="12.140625" style="4" customWidth="1"/>
    <col min="26" max="29" width="12.140625" customWidth="1"/>
  </cols>
  <sheetData>
    <row r="1" spans="1:25" s="12" customFormat="1" ht="37.5" customHeight="1" x14ac:dyDescent="0.25">
      <c r="A1" s="9" t="s">
        <v>135</v>
      </c>
      <c r="B1" s="2" t="s">
        <v>1</v>
      </c>
      <c r="C1" s="2" t="s">
        <v>7</v>
      </c>
      <c r="D1" s="2" t="s">
        <v>8</v>
      </c>
      <c r="E1" s="2" t="s">
        <v>10</v>
      </c>
      <c r="F1" s="2" t="s">
        <v>11</v>
      </c>
      <c r="G1" s="2" t="s">
        <v>404</v>
      </c>
      <c r="H1" s="2" t="s">
        <v>136</v>
      </c>
      <c r="I1" s="2" t="s">
        <v>352</v>
      </c>
      <c r="J1" s="2" t="s">
        <v>137</v>
      </c>
      <c r="K1" s="2" t="s">
        <v>133</v>
      </c>
      <c r="L1" s="2" t="s">
        <v>134</v>
      </c>
      <c r="M1" s="2" t="s">
        <v>128</v>
      </c>
      <c r="N1" s="2" t="s">
        <v>129</v>
      </c>
      <c r="O1" s="2" t="s">
        <v>130</v>
      </c>
      <c r="P1" s="2" t="s">
        <v>146</v>
      </c>
      <c r="Q1" s="2" t="s">
        <v>138</v>
      </c>
      <c r="R1" s="2" t="s">
        <v>139</v>
      </c>
      <c r="S1" s="2" t="s">
        <v>399</v>
      </c>
      <c r="T1" s="2" t="s">
        <v>140</v>
      </c>
      <c r="U1" s="2" t="s">
        <v>141</v>
      </c>
      <c r="V1" s="2" t="s">
        <v>142</v>
      </c>
      <c r="Y1" s="2"/>
    </row>
    <row r="2" spans="1:25" x14ac:dyDescent="0.25">
      <c r="A2" s="1">
        <v>46023</v>
      </c>
      <c r="B2" t="s">
        <v>18</v>
      </c>
      <c r="C2" s="1">
        <v>44593</v>
      </c>
      <c r="D2" s="1"/>
      <c r="E2" s="1" t="s">
        <v>356</v>
      </c>
      <c r="F2" s="1" t="s">
        <v>398</v>
      </c>
      <c r="G2" s="1" t="str">
        <f>VLOOKUP(tblPayroll[[#This Row],[Employee Id]],Table1[[Employee Id]:[Work Location]],13,0)</f>
        <v>Bangalore</v>
      </c>
      <c r="H2">
        <v>6</v>
      </c>
      <c r="I2">
        <f>31-H2</f>
        <v>25</v>
      </c>
      <c r="J2">
        <v>0</v>
      </c>
      <c r="K2" s="13">
        <f>ROUND(VLOOKUP($B2,'CTC Breakup'!$B$2:$O$51,7,0)/31*$I2,0)</f>
        <v>62165</v>
      </c>
      <c r="L2" s="13">
        <f>ROUND(VLOOKUP($B2,'CTC Breakup'!$B$2:$O$51,8,0)/31*$I2,0)</f>
        <v>24866</v>
      </c>
      <c r="M2" s="13">
        <f>ROUND(VLOOKUP($B2,'CTC Breakup'!$B$2:$O$51,9,0)/31*$I2,0)</f>
        <v>27419</v>
      </c>
      <c r="N2" s="13">
        <f>ROUND(VLOOKUP($B2,'CTC Breakup'!$B$2:$O$51,10,0)/31*$I2,0)</f>
        <v>1613</v>
      </c>
      <c r="O2" s="13">
        <f>ROUND(VLOOKUP($B2,'CTC Breakup'!$B$2:$O$51,11,0)/31*$I2,0)</f>
        <v>806</v>
      </c>
      <c r="P2" s="13">
        <f>ROUND(((VLOOKUP($B2,'CTC Breakup'!$B$2:$N$51,13,0)-VLOOKUP($B2,'CTC Breakup'!$B$2:$N$51,12,0))/22/9)*$J2,0)</f>
        <v>0</v>
      </c>
      <c r="Q2" s="13">
        <v>0</v>
      </c>
      <c r="R2" s="13">
        <f>SUM(K2:Q2)</f>
        <v>116869</v>
      </c>
      <c r="S2" s="13">
        <f>ROUND(K2*12%,0)</f>
        <v>7460</v>
      </c>
      <c r="T2" s="13">
        <f>ROUND(IF(R2&gt;100000,R2*30%,IF(R2&gt;75000,R2*20%,IF(R2&gt;50000,R2*5%,0))),0)</f>
        <v>35061</v>
      </c>
      <c r="U2" s="13">
        <v>0</v>
      </c>
      <c r="V2" s="13">
        <f>R2-S2-T2-U2</f>
        <v>74348</v>
      </c>
      <c r="W2" s="1"/>
      <c r="X2" t="s">
        <v>413</v>
      </c>
      <c r="Y2" s="19">
        <f>SUM(tblPayroll[Net Salary])</f>
        <v>6810287</v>
      </c>
    </row>
    <row r="3" spans="1:25" x14ac:dyDescent="0.25">
      <c r="A3" s="1">
        <v>46023</v>
      </c>
      <c r="B3" t="s">
        <v>24</v>
      </c>
      <c r="C3" s="1">
        <v>44613</v>
      </c>
      <c r="D3" s="1"/>
      <c r="E3" s="1" t="s">
        <v>355</v>
      </c>
      <c r="F3" s="1" t="s">
        <v>354</v>
      </c>
      <c r="G3" s="1" t="str">
        <f>VLOOKUP(tblPayroll[[#This Row],[Employee Id]],Table1[[Employee Id]:[Work Location]],13,0)</f>
        <v>Chennai</v>
      </c>
      <c r="H3">
        <v>10</v>
      </c>
      <c r="I3">
        <f t="shared" ref="I3:I38" si="0">31-H3</f>
        <v>21</v>
      </c>
      <c r="J3">
        <v>0</v>
      </c>
      <c r="K3" s="13">
        <f>ROUND(VLOOKUP($B3,'CTC Breakup'!$B$2:$O$51,7,0)/31*$I3,0)</f>
        <v>70565</v>
      </c>
      <c r="L3" s="13">
        <f>ROUND(VLOOKUP($B3,'CTC Breakup'!$B$2:$O$51,8,0)/31*$I3,0)</f>
        <v>28226</v>
      </c>
      <c r="M3" s="13">
        <f>ROUND(VLOOKUP($B3,'CTC Breakup'!$B$2:$O$51,9,0)/31*$I3,0)</f>
        <v>33870</v>
      </c>
      <c r="N3" s="13">
        <f>ROUND(VLOOKUP($B3,'CTC Breakup'!$B$2:$O$51,10,0)/31*$I3,0)</f>
        <v>0</v>
      </c>
      <c r="O3" s="13">
        <f>ROUND(VLOOKUP($B3,'CTC Breakup'!$B$2:$O$51,11,0)/31*$I3,0)</f>
        <v>0</v>
      </c>
      <c r="P3" s="13">
        <f>ROUND(((VLOOKUP($B3,'CTC Breakup'!$B$2:$N$51,13,0)-VLOOKUP($B3,'CTC Breakup'!$B$2:$N$51,12,0))/22/9)*$J3,0)</f>
        <v>0</v>
      </c>
      <c r="Q3" s="13">
        <v>0</v>
      </c>
      <c r="R3" s="13">
        <f t="shared" ref="R3:R38" si="1">SUM(K3:Q3)</f>
        <v>132661</v>
      </c>
      <c r="S3" s="13">
        <f t="shared" ref="S3:S38" si="2">ROUND(K3*12%,0)</f>
        <v>8468</v>
      </c>
      <c r="T3" s="13">
        <f t="shared" ref="T3:T37" si="3">ROUND(IF(R3&gt;100000,R3*30%,IF(R3&gt;75000,R3*20%,IF(R3&gt;50000,R3*5%,0))),0)</f>
        <v>39798</v>
      </c>
      <c r="U3" s="13">
        <v>0</v>
      </c>
      <c r="V3" s="13">
        <f t="shared" ref="V3:V38" si="4">R3-S3-T3-U3</f>
        <v>84395</v>
      </c>
    </row>
    <row r="4" spans="1:25" x14ac:dyDescent="0.25">
      <c r="A4" s="1">
        <v>46023</v>
      </c>
      <c r="B4" t="s">
        <v>28</v>
      </c>
      <c r="C4" s="1">
        <v>44634</v>
      </c>
      <c r="D4" s="1"/>
      <c r="E4" s="1" t="s">
        <v>356</v>
      </c>
      <c r="F4" s="1" t="s">
        <v>398</v>
      </c>
      <c r="G4" s="1" t="str">
        <f>VLOOKUP(tblPayroll[[#This Row],[Employee Id]],Table1[[Employee Id]:[Work Location]],13,0)</f>
        <v>Bangalore</v>
      </c>
      <c r="H4">
        <v>0</v>
      </c>
      <c r="I4">
        <f t="shared" si="0"/>
        <v>31</v>
      </c>
      <c r="J4">
        <v>24</v>
      </c>
      <c r="K4" s="13">
        <f>ROUND(VLOOKUP($B4,'CTC Breakup'!$B$2:$O$51,7,0)/31*$I4,0)</f>
        <v>72917</v>
      </c>
      <c r="L4" s="13">
        <f>ROUND(VLOOKUP($B4,'CTC Breakup'!$B$2:$O$51,8,0)/31*$I4,0)</f>
        <v>29167</v>
      </c>
      <c r="M4" s="13">
        <f>ROUND(VLOOKUP($B4,'CTC Breakup'!$B$2:$O$51,9,0)/31*$I4,0)</f>
        <v>31999</v>
      </c>
      <c r="N4" s="13">
        <f>ROUND(VLOOKUP($B4,'CTC Breakup'!$B$2:$O$51,10,0)/31*$I4,0)</f>
        <v>2000</v>
      </c>
      <c r="O4" s="13">
        <f>ROUND(VLOOKUP($B4,'CTC Breakup'!$B$2:$O$51,11,0)/31*$I4,0)</f>
        <v>1000</v>
      </c>
      <c r="P4" s="13">
        <f>ROUND(((VLOOKUP($B4,'CTC Breakup'!$B$2:$N$51,13,0)-VLOOKUP($B4,'CTC Breakup'!$B$2:$N$51,12,0))/22/9)*$J4,0)</f>
        <v>16616</v>
      </c>
      <c r="Q4" s="13">
        <v>0</v>
      </c>
      <c r="R4" s="13">
        <f t="shared" si="1"/>
        <v>153699</v>
      </c>
      <c r="S4" s="13">
        <f t="shared" si="2"/>
        <v>8750</v>
      </c>
      <c r="T4" s="13">
        <f t="shared" si="3"/>
        <v>46110</v>
      </c>
      <c r="U4" s="13">
        <v>0</v>
      </c>
      <c r="V4" s="13">
        <f t="shared" si="4"/>
        <v>98839</v>
      </c>
      <c r="X4" t="s">
        <v>414</v>
      </c>
      <c r="Y4" s="19">
        <f>SUM(tblPayroll[Gross Salary])</f>
        <v>9636624</v>
      </c>
    </row>
    <row r="5" spans="1:25" x14ac:dyDescent="0.25">
      <c r="A5" s="1">
        <v>46023</v>
      </c>
      <c r="B5" t="s">
        <v>34</v>
      </c>
      <c r="C5" s="1">
        <v>44697</v>
      </c>
      <c r="D5" s="1"/>
      <c r="E5" s="1" t="s">
        <v>360</v>
      </c>
      <c r="F5" s="1" t="s">
        <v>363</v>
      </c>
      <c r="G5" s="1" t="str">
        <f>VLOOKUP(tblPayroll[[#This Row],[Employee Id]],Table1[[Employee Id]:[Work Location]],13,0)</f>
        <v>Chennai</v>
      </c>
      <c r="H5">
        <v>7</v>
      </c>
      <c r="I5">
        <f t="shared" si="0"/>
        <v>24</v>
      </c>
      <c r="J5">
        <v>17</v>
      </c>
      <c r="K5" s="13">
        <f>ROUND(VLOOKUP($B5,'CTC Breakup'!$B$2:$O$51,7,0)/31*$I5,0)</f>
        <v>54839</v>
      </c>
      <c r="L5" s="13">
        <f>ROUND(VLOOKUP($B5,'CTC Breakup'!$B$2:$O$51,8,0)/31*$I5,0)</f>
        <v>21936</v>
      </c>
      <c r="M5" s="13">
        <f>ROUND(VLOOKUP($B5,'CTC Breakup'!$B$2:$O$51,9,0)/31*$I5,0)</f>
        <v>23999</v>
      </c>
      <c r="N5" s="13">
        <f>ROUND(VLOOKUP($B5,'CTC Breakup'!$B$2:$O$51,10,0)/31*$I5,0)</f>
        <v>1548</v>
      </c>
      <c r="O5" s="13">
        <f>ROUND(VLOOKUP($B5,'CTC Breakup'!$B$2:$O$51,11,0)/31*$I5,0)</f>
        <v>774</v>
      </c>
      <c r="P5" s="13">
        <f>ROUND(((VLOOKUP($B5,'CTC Breakup'!$B$2:$N$51,13,0)-VLOOKUP($B5,'CTC Breakup'!$B$2:$N$51,12,0))/22/9)*$J5,0)</f>
        <v>11434</v>
      </c>
      <c r="Q5" s="13">
        <v>0</v>
      </c>
      <c r="R5" s="13">
        <f t="shared" si="1"/>
        <v>114530</v>
      </c>
      <c r="S5" s="13">
        <f t="shared" si="2"/>
        <v>6581</v>
      </c>
      <c r="T5" s="13">
        <f t="shared" si="3"/>
        <v>34359</v>
      </c>
      <c r="U5" s="13">
        <v>0</v>
      </c>
      <c r="V5" s="13">
        <f t="shared" si="4"/>
        <v>73590</v>
      </c>
    </row>
    <row r="6" spans="1:25" x14ac:dyDescent="0.25">
      <c r="A6" s="1">
        <v>46023</v>
      </c>
      <c r="B6" t="s">
        <v>35</v>
      </c>
      <c r="C6" s="1">
        <v>44704</v>
      </c>
      <c r="D6" s="1"/>
      <c r="E6" s="1" t="s">
        <v>369</v>
      </c>
      <c r="F6" s="1" t="s">
        <v>363</v>
      </c>
      <c r="G6" s="1" t="str">
        <f>VLOOKUP(tblPayroll[[#This Row],[Employee Id]],Table1[[Employee Id]:[Work Location]],13,0)</f>
        <v>Mumbai</v>
      </c>
      <c r="H6">
        <v>0</v>
      </c>
      <c r="I6">
        <f t="shared" si="0"/>
        <v>31</v>
      </c>
      <c r="J6">
        <v>0</v>
      </c>
      <c r="K6" s="13">
        <f>ROUND(VLOOKUP($B6,'CTC Breakup'!$B$2:$O$51,7,0)/31*$I6,0)</f>
        <v>41667</v>
      </c>
      <c r="L6" s="13">
        <f>ROUND(VLOOKUP($B6,'CTC Breakup'!$B$2:$O$51,8,0)/31*$I6,0)</f>
        <v>16667</v>
      </c>
      <c r="M6" s="13">
        <f>ROUND(VLOOKUP($B6,'CTC Breakup'!$B$2:$O$51,9,0)/31*$I6,0)</f>
        <v>16999</v>
      </c>
      <c r="N6" s="13">
        <f>ROUND(VLOOKUP($B6,'CTC Breakup'!$B$2:$O$51,10,0)/31*$I6,0)</f>
        <v>2000</v>
      </c>
      <c r="O6" s="13">
        <f>ROUND(VLOOKUP($B6,'CTC Breakup'!$B$2:$O$51,11,0)/31*$I6,0)</f>
        <v>1000</v>
      </c>
      <c r="P6" s="13">
        <f>ROUND(((VLOOKUP($B6,'CTC Breakup'!$B$2:$N$51,13,0)-VLOOKUP($B6,'CTC Breakup'!$B$2:$N$51,12,0))/22/9)*$J6,0)</f>
        <v>0</v>
      </c>
      <c r="Q6" s="13">
        <v>0</v>
      </c>
      <c r="R6" s="13">
        <f t="shared" si="1"/>
        <v>78333</v>
      </c>
      <c r="S6" s="13">
        <f t="shared" si="2"/>
        <v>5000</v>
      </c>
      <c r="T6" s="13">
        <f t="shared" si="3"/>
        <v>15667</v>
      </c>
      <c r="U6" s="13">
        <v>12500</v>
      </c>
      <c r="V6" s="13">
        <f t="shared" si="4"/>
        <v>45166</v>
      </c>
      <c r="X6" t="s">
        <v>415</v>
      </c>
      <c r="Y6" s="4">
        <f>SUM(tblPayroll[OT Hours])</f>
        <v>946</v>
      </c>
    </row>
    <row r="7" spans="1:25" x14ac:dyDescent="0.25">
      <c r="A7" s="1">
        <v>46023</v>
      </c>
      <c r="B7" t="s">
        <v>37</v>
      </c>
      <c r="C7" s="1">
        <v>44886</v>
      </c>
      <c r="D7" s="1"/>
      <c r="E7" s="1" t="s">
        <v>361</v>
      </c>
      <c r="F7" s="1" t="s">
        <v>353</v>
      </c>
      <c r="G7" s="1" t="str">
        <f>VLOOKUP(tblPayroll[[#This Row],[Employee Id]],Table1[[Employee Id]:[Work Location]],13,0)</f>
        <v>Kolkata</v>
      </c>
      <c r="H7">
        <v>0</v>
      </c>
      <c r="I7">
        <f t="shared" si="0"/>
        <v>31</v>
      </c>
      <c r="J7">
        <v>20</v>
      </c>
      <c r="K7" s="13">
        <f>ROUND(VLOOKUP($B7,'CTC Breakup'!$B$2:$O$51,7,0)/31*$I7,0)</f>
        <v>87500</v>
      </c>
      <c r="L7" s="13">
        <f>ROUND(VLOOKUP($B7,'CTC Breakup'!$B$2:$O$51,8,0)/31*$I7,0)</f>
        <v>35000</v>
      </c>
      <c r="M7" s="13">
        <f>ROUND(VLOOKUP($B7,'CTC Breakup'!$B$2:$O$51,9,0)/31*$I7,0)</f>
        <v>39000</v>
      </c>
      <c r="N7" s="13">
        <f>ROUND(VLOOKUP($B7,'CTC Breakup'!$B$2:$O$51,10,0)/31*$I7,0)</f>
        <v>2000</v>
      </c>
      <c r="O7" s="13">
        <f>ROUND(VLOOKUP($B7,'CTC Breakup'!$B$2:$O$51,11,0)/31*$I7,0)</f>
        <v>1000</v>
      </c>
      <c r="P7" s="13">
        <f>ROUND(((VLOOKUP($B7,'CTC Breakup'!$B$2:$N$51,13,0)-VLOOKUP($B7,'CTC Breakup'!$B$2:$N$51,12,0))/22/9)*$J7,0)</f>
        <v>16616</v>
      </c>
      <c r="Q7" s="13">
        <v>31000</v>
      </c>
      <c r="R7" s="13">
        <f t="shared" si="1"/>
        <v>212116</v>
      </c>
      <c r="S7" s="13">
        <f t="shared" si="2"/>
        <v>10500</v>
      </c>
      <c r="T7" s="13">
        <f t="shared" si="3"/>
        <v>63635</v>
      </c>
      <c r="U7" s="13">
        <v>0</v>
      </c>
      <c r="V7" s="13">
        <f t="shared" si="4"/>
        <v>137981</v>
      </c>
    </row>
    <row r="8" spans="1:25" x14ac:dyDescent="0.25">
      <c r="A8" s="1">
        <v>46023</v>
      </c>
      <c r="B8" t="s">
        <v>38</v>
      </c>
      <c r="C8" s="1">
        <v>44893</v>
      </c>
      <c r="D8" s="1"/>
      <c r="E8" s="1" t="s">
        <v>373</v>
      </c>
      <c r="F8" s="1" t="s">
        <v>353</v>
      </c>
      <c r="G8" s="1" t="str">
        <f>VLOOKUP(tblPayroll[[#This Row],[Employee Id]],Table1[[Employee Id]:[Work Location]],13,0)</f>
        <v>Hyderabad</v>
      </c>
      <c r="H8">
        <v>0</v>
      </c>
      <c r="I8">
        <f t="shared" si="0"/>
        <v>31</v>
      </c>
      <c r="J8">
        <v>19</v>
      </c>
      <c r="K8" s="13">
        <f>ROUND(VLOOKUP($B8,'CTC Breakup'!$B$2:$O$51,7,0)/31*$I8,0)</f>
        <v>75000</v>
      </c>
      <c r="L8" s="13">
        <f>ROUND(VLOOKUP($B8,'CTC Breakup'!$B$2:$O$51,8,0)/31*$I8,0)</f>
        <v>30000</v>
      </c>
      <c r="M8" s="13">
        <f>ROUND(VLOOKUP($B8,'CTC Breakup'!$B$2:$O$51,9,0)/31*$I8,0)</f>
        <v>33000</v>
      </c>
      <c r="N8" s="13">
        <f>ROUND(VLOOKUP($B8,'CTC Breakup'!$B$2:$O$51,10,0)/31*$I8,0)</f>
        <v>2000</v>
      </c>
      <c r="O8" s="13">
        <f>ROUND(VLOOKUP($B8,'CTC Breakup'!$B$2:$O$51,11,0)/31*$I8,0)</f>
        <v>1000</v>
      </c>
      <c r="P8" s="13">
        <f>ROUND(((VLOOKUP($B8,'CTC Breakup'!$B$2:$N$51,13,0)-VLOOKUP($B8,'CTC Breakup'!$B$2:$N$51,12,0))/22/9)*$J8,0)</f>
        <v>13530</v>
      </c>
      <c r="Q8" s="13">
        <v>27500</v>
      </c>
      <c r="R8" s="13">
        <f t="shared" si="1"/>
        <v>182030</v>
      </c>
      <c r="S8" s="13">
        <f t="shared" si="2"/>
        <v>9000</v>
      </c>
      <c r="T8" s="13">
        <f t="shared" si="3"/>
        <v>54609</v>
      </c>
      <c r="U8" s="13">
        <v>0</v>
      </c>
      <c r="V8" s="13">
        <f t="shared" si="4"/>
        <v>118421</v>
      </c>
      <c r="X8" t="s">
        <v>416</v>
      </c>
      <c r="Y8" s="4">
        <f>SUM(tblPayroll[LOP Days])</f>
        <v>269</v>
      </c>
    </row>
    <row r="9" spans="1:25" x14ac:dyDescent="0.25">
      <c r="A9" s="1">
        <v>46023</v>
      </c>
      <c r="B9" t="s">
        <v>40</v>
      </c>
      <c r="C9" s="1">
        <v>44907</v>
      </c>
      <c r="D9" s="1"/>
      <c r="E9" s="1" t="s">
        <v>358</v>
      </c>
      <c r="F9" s="1" t="s">
        <v>397</v>
      </c>
      <c r="G9" s="1" t="str">
        <f>VLOOKUP(tblPayroll[[#This Row],[Employee Id]],Table1[[Employee Id]:[Work Location]],13,0)</f>
        <v>Mumbai</v>
      </c>
      <c r="H9">
        <v>0</v>
      </c>
      <c r="I9">
        <f t="shared" si="0"/>
        <v>31</v>
      </c>
      <c r="J9">
        <v>0</v>
      </c>
      <c r="K9" s="13">
        <f>ROUND(VLOOKUP($B9,'CTC Breakup'!$B$2:$O$51,7,0)/31*$I9,0)</f>
        <v>72917</v>
      </c>
      <c r="L9" s="13">
        <f>ROUND(VLOOKUP($B9,'CTC Breakup'!$B$2:$O$51,8,0)/31*$I9,0)</f>
        <v>29167</v>
      </c>
      <c r="M9" s="13">
        <f>ROUND(VLOOKUP($B9,'CTC Breakup'!$B$2:$O$51,9,0)/31*$I9,0)</f>
        <v>31999</v>
      </c>
      <c r="N9" s="13">
        <f>ROUND(VLOOKUP($B9,'CTC Breakup'!$B$2:$O$51,10,0)/31*$I9,0)</f>
        <v>2000</v>
      </c>
      <c r="O9" s="13">
        <f>ROUND(VLOOKUP($B9,'CTC Breakup'!$B$2:$O$51,11,0)/31*$I9,0)</f>
        <v>1000</v>
      </c>
      <c r="P9" s="13">
        <f>ROUND(((VLOOKUP($B9,'CTC Breakup'!$B$2:$N$51,13,0)-VLOOKUP($B9,'CTC Breakup'!$B$2:$N$51,12,0))/22/9)*$J9,0)</f>
        <v>0</v>
      </c>
      <c r="Q9" s="13">
        <v>0</v>
      </c>
      <c r="R9" s="13">
        <f t="shared" si="1"/>
        <v>137083</v>
      </c>
      <c r="S9" s="13">
        <f t="shared" si="2"/>
        <v>8750</v>
      </c>
      <c r="T9" s="13">
        <f t="shared" si="3"/>
        <v>41125</v>
      </c>
      <c r="U9" s="13">
        <v>0</v>
      </c>
      <c r="V9" s="13">
        <f t="shared" si="4"/>
        <v>87208</v>
      </c>
    </row>
    <row r="10" spans="1:25" x14ac:dyDescent="0.25">
      <c r="A10" s="1">
        <v>46023</v>
      </c>
      <c r="B10" t="s">
        <v>43</v>
      </c>
      <c r="C10" s="1">
        <v>44956</v>
      </c>
      <c r="D10" s="1"/>
      <c r="E10" s="1" t="s">
        <v>382</v>
      </c>
      <c r="F10" s="1" t="s">
        <v>353</v>
      </c>
      <c r="G10" s="1" t="str">
        <f>VLOOKUP(tblPayroll[[#This Row],[Employee Id]],Table1[[Employee Id]:[Work Location]],13,0)</f>
        <v>Chennai</v>
      </c>
      <c r="H10">
        <v>6</v>
      </c>
      <c r="I10">
        <f t="shared" si="0"/>
        <v>25</v>
      </c>
      <c r="J10">
        <v>0</v>
      </c>
      <c r="K10" s="13">
        <f>ROUND(VLOOKUP($B10,'CTC Breakup'!$B$2:$O$51,7,0)/31*$I10,0)</f>
        <v>38643</v>
      </c>
      <c r="L10" s="13">
        <f>ROUND(VLOOKUP($B10,'CTC Breakup'!$B$2:$O$51,8,0)/31*$I10,0)</f>
        <v>15457</v>
      </c>
      <c r="M10" s="13">
        <f>ROUND(VLOOKUP($B10,'CTC Breakup'!$B$2:$O$51,9,0)/31*$I10,0)</f>
        <v>16128</v>
      </c>
      <c r="N10" s="13">
        <f>ROUND(VLOOKUP($B10,'CTC Breakup'!$B$2:$O$51,10,0)/31*$I10,0)</f>
        <v>1613</v>
      </c>
      <c r="O10" s="13">
        <f>ROUND(VLOOKUP($B10,'CTC Breakup'!$B$2:$O$51,11,0)/31*$I10,0)</f>
        <v>806</v>
      </c>
      <c r="P10" s="13">
        <f>ROUND(((VLOOKUP($B10,'CTC Breakup'!$B$2:$N$51,13,0)-VLOOKUP($B10,'CTC Breakup'!$B$2:$N$51,12,0))/22/9)*$J10,0)</f>
        <v>0</v>
      </c>
      <c r="Q10" s="13">
        <v>21400</v>
      </c>
      <c r="R10" s="13">
        <f t="shared" si="1"/>
        <v>94047</v>
      </c>
      <c r="S10" s="13">
        <f t="shared" si="2"/>
        <v>4637</v>
      </c>
      <c r="T10" s="13">
        <f t="shared" si="3"/>
        <v>18809</v>
      </c>
      <c r="U10" s="13">
        <v>0</v>
      </c>
      <c r="V10" s="13">
        <f t="shared" si="4"/>
        <v>70601</v>
      </c>
      <c r="X10" t="s">
        <v>417</v>
      </c>
      <c r="Y10" s="4" t="str">
        <f>INDEX($G$2:$G$117, MATCH(MAX($V$2:$V$117), $V$2:$V$117, 0))</f>
        <v>Kolkata</v>
      </c>
    </row>
    <row r="11" spans="1:25" x14ac:dyDescent="0.25">
      <c r="A11" s="1">
        <v>46023</v>
      </c>
      <c r="B11" t="s">
        <v>45</v>
      </c>
      <c r="C11" s="1">
        <v>44963</v>
      </c>
      <c r="D11" s="1"/>
      <c r="E11" s="1" t="s">
        <v>357</v>
      </c>
      <c r="F11" s="1" t="s">
        <v>354</v>
      </c>
      <c r="G11" s="1" t="str">
        <f>VLOOKUP(tblPayroll[[#This Row],[Employee Id]],Table1[[Employee Id]:[Work Location]],13,0)</f>
        <v>Bangalore</v>
      </c>
      <c r="H11">
        <v>0</v>
      </c>
      <c r="I11">
        <f t="shared" si="0"/>
        <v>31</v>
      </c>
      <c r="J11">
        <v>0</v>
      </c>
      <c r="K11" s="13">
        <f>ROUND(VLOOKUP($B11,'CTC Breakup'!$B$2:$O$51,7,0)/31*$I11,0)</f>
        <v>64584</v>
      </c>
      <c r="L11" s="13">
        <f>ROUND(VLOOKUP($B11,'CTC Breakup'!$B$2:$O$51,8,0)/31*$I11,0)</f>
        <v>25834</v>
      </c>
      <c r="M11" s="13">
        <f>ROUND(VLOOKUP($B11,'CTC Breakup'!$B$2:$O$51,9,0)/31*$I11,0)</f>
        <v>27999</v>
      </c>
      <c r="N11" s="13">
        <f>ROUND(VLOOKUP($B11,'CTC Breakup'!$B$2:$O$51,10,0)/31*$I11,0)</f>
        <v>2000</v>
      </c>
      <c r="O11" s="13">
        <f>ROUND(VLOOKUP($B11,'CTC Breakup'!$B$2:$O$51,11,0)/31*$I11,0)</f>
        <v>1000</v>
      </c>
      <c r="P11" s="13">
        <f>ROUND(((VLOOKUP($B11,'CTC Breakup'!$B$2:$N$51,13,0)-VLOOKUP($B11,'CTC Breakup'!$B$2:$N$51,12,0))/22/9)*$J11,0)</f>
        <v>0</v>
      </c>
      <c r="Q11" s="13">
        <v>0</v>
      </c>
      <c r="R11" s="13">
        <f t="shared" si="1"/>
        <v>121417</v>
      </c>
      <c r="S11" s="13">
        <f t="shared" si="2"/>
        <v>7750</v>
      </c>
      <c r="T11" s="13">
        <f t="shared" si="3"/>
        <v>36425</v>
      </c>
      <c r="U11" s="13">
        <v>0</v>
      </c>
      <c r="V11" s="13">
        <f t="shared" si="4"/>
        <v>77242</v>
      </c>
    </row>
    <row r="12" spans="1:25" x14ac:dyDescent="0.25">
      <c r="A12" s="1">
        <v>46023</v>
      </c>
      <c r="B12" t="s">
        <v>48</v>
      </c>
      <c r="C12" s="1">
        <v>45033</v>
      </c>
      <c r="D12" s="1"/>
      <c r="E12" s="1" t="s">
        <v>357</v>
      </c>
      <c r="F12" s="1" t="s">
        <v>354</v>
      </c>
      <c r="G12" s="1" t="str">
        <f>VLOOKUP(tblPayroll[[#This Row],[Employee Id]],Table1[[Employee Id]:[Work Location]],13,0)</f>
        <v>Hyderabad</v>
      </c>
      <c r="H12">
        <v>0</v>
      </c>
      <c r="I12">
        <f t="shared" si="0"/>
        <v>31</v>
      </c>
      <c r="J12">
        <v>0</v>
      </c>
      <c r="K12" s="13">
        <f>ROUND(VLOOKUP($B12,'CTC Breakup'!$B$2:$O$51,7,0)/31*$I12,0)</f>
        <v>61459</v>
      </c>
      <c r="L12" s="13">
        <f>ROUND(VLOOKUP($B12,'CTC Breakup'!$B$2:$O$51,8,0)/31*$I12,0)</f>
        <v>24584</v>
      </c>
      <c r="M12" s="13">
        <f>ROUND(VLOOKUP($B12,'CTC Breakup'!$B$2:$O$51,9,0)/31*$I12,0)</f>
        <v>26499</v>
      </c>
      <c r="N12" s="13">
        <f>ROUND(VLOOKUP($B12,'CTC Breakup'!$B$2:$O$51,10,0)/31*$I12,0)</f>
        <v>2000</v>
      </c>
      <c r="O12" s="13">
        <f>ROUND(VLOOKUP($B12,'CTC Breakup'!$B$2:$O$51,11,0)/31*$I12,0)</f>
        <v>1000</v>
      </c>
      <c r="P12" s="13">
        <f>ROUND(((VLOOKUP($B12,'CTC Breakup'!$B$2:$N$51,13,0)-VLOOKUP($B12,'CTC Breakup'!$B$2:$N$51,12,0))/22/9)*$J12,0)</f>
        <v>0</v>
      </c>
      <c r="Q12" s="13">
        <v>0</v>
      </c>
      <c r="R12" s="13">
        <f t="shared" si="1"/>
        <v>115542</v>
      </c>
      <c r="S12" s="13">
        <f t="shared" si="2"/>
        <v>7375</v>
      </c>
      <c r="T12" s="13">
        <f t="shared" si="3"/>
        <v>34663</v>
      </c>
      <c r="U12" s="13">
        <v>0</v>
      </c>
      <c r="V12" s="13">
        <f t="shared" si="4"/>
        <v>73504</v>
      </c>
      <c r="X12" t="s">
        <v>418</v>
      </c>
      <c r="Y12" s="4" t="str">
        <f>INDEX($F$2:$F$117, MATCH(MAX($V$2:$V$117), $V$2:$V$117, 0))</f>
        <v>Sales</v>
      </c>
    </row>
    <row r="13" spans="1:25" x14ac:dyDescent="0.25">
      <c r="A13" s="1">
        <v>46023</v>
      </c>
      <c r="B13" t="s">
        <v>49</v>
      </c>
      <c r="C13" s="1">
        <v>45040</v>
      </c>
      <c r="D13" s="1"/>
      <c r="E13" s="1" t="s">
        <v>357</v>
      </c>
      <c r="F13" s="1" t="s">
        <v>354</v>
      </c>
      <c r="G13" s="1" t="str">
        <f>VLOOKUP(tblPayroll[[#This Row],[Employee Id]],Table1[[Employee Id]:[Work Location]],13,0)</f>
        <v>Bangalore</v>
      </c>
      <c r="H13">
        <v>0</v>
      </c>
      <c r="I13">
        <f t="shared" si="0"/>
        <v>31</v>
      </c>
      <c r="J13">
        <v>16</v>
      </c>
      <c r="K13" s="13">
        <f>ROUND(VLOOKUP($B13,'CTC Breakup'!$B$2:$O$51,7,0)/31*$I13,0)</f>
        <v>78125</v>
      </c>
      <c r="L13" s="13">
        <f>ROUND(VLOOKUP($B13,'CTC Breakup'!$B$2:$O$51,8,0)/31*$I13,0)</f>
        <v>31250</v>
      </c>
      <c r="M13" s="13">
        <f>ROUND(VLOOKUP($B13,'CTC Breakup'!$B$2:$O$51,9,0)/31*$I13,0)</f>
        <v>34500</v>
      </c>
      <c r="N13" s="13">
        <f>ROUND(VLOOKUP($B13,'CTC Breakup'!$B$2:$O$51,10,0)/31*$I13,0)</f>
        <v>2000</v>
      </c>
      <c r="O13" s="13">
        <f>ROUND(VLOOKUP($B13,'CTC Breakup'!$B$2:$O$51,11,0)/31*$I13,0)</f>
        <v>1000</v>
      </c>
      <c r="P13" s="13">
        <f>ROUND(((VLOOKUP($B13,'CTC Breakup'!$B$2:$N$51,13,0)-VLOOKUP($B13,'CTC Breakup'!$B$2:$N$51,12,0))/22/9)*$J13,0)</f>
        <v>11869</v>
      </c>
      <c r="Q13" s="13">
        <v>0</v>
      </c>
      <c r="R13" s="13">
        <f t="shared" si="1"/>
        <v>158744</v>
      </c>
      <c r="S13" s="13">
        <f t="shared" si="2"/>
        <v>9375</v>
      </c>
      <c r="T13" s="13">
        <f t="shared" si="3"/>
        <v>47623</v>
      </c>
      <c r="U13" s="13">
        <v>0</v>
      </c>
      <c r="V13" s="13">
        <f t="shared" si="4"/>
        <v>101746</v>
      </c>
    </row>
    <row r="14" spans="1:25" x14ac:dyDescent="0.25">
      <c r="A14" s="1">
        <v>46023</v>
      </c>
      <c r="B14" t="s">
        <v>50</v>
      </c>
      <c r="C14" s="1">
        <v>45048</v>
      </c>
      <c r="D14" s="1">
        <v>46055</v>
      </c>
      <c r="E14" s="1" t="s">
        <v>380</v>
      </c>
      <c r="F14" s="1" t="s">
        <v>397</v>
      </c>
      <c r="G14" s="1" t="str">
        <f>VLOOKUP(tblPayroll[[#This Row],[Employee Id]],Table1[[Employee Id]:[Work Location]],13,0)</f>
        <v>Chennai</v>
      </c>
      <c r="H14">
        <v>6</v>
      </c>
      <c r="I14">
        <f t="shared" si="0"/>
        <v>25</v>
      </c>
      <c r="J14">
        <v>0</v>
      </c>
      <c r="K14" s="13">
        <f>ROUND(VLOOKUP($B14,'CTC Breakup'!$B$2:$O$51,7,0)/31*$I14,0)</f>
        <v>38643</v>
      </c>
      <c r="L14" s="13">
        <f>ROUND(VLOOKUP($B14,'CTC Breakup'!$B$2:$O$51,8,0)/31*$I14,0)</f>
        <v>15457</v>
      </c>
      <c r="M14" s="13">
        <f>ROUND(VLOOKUP($B14,'CTC Breakup'!$B$2:$O$51,9,0)/31*$I14,0)</f>
        <v>16128</v>
      </c>
      <c r="N14" s="13">
        <f>ROUND(VLOOKUP($B14,'CTC Breakup'!$B$2:$O$51,10,0)/31*$I14,0)</f>
        <v>1613</v>
      </c>
      <c r="O14" s="13">
        <f>ROUND(VLOOKUP($B14,'CTC Breakup'!$B$2:$O$51,11,0)/31*$I14,0)</f>
        <v>806</v>
      </c>
      <c r="P14" s="13">
        <f>ROUND(((VLOOKUP($B14,'CTC Breakup'!$B$2:$N$51,13,0)-VLOOKUP($B14,'CTC Breakup'!$B$2:$N$51,12,0))/22/9)*$J14,0)</f>
        <v>0</v>
      </c>
      <c r="Q14" s="13">
        <v>0</v>
      </c>
      <c r="R14" s="13">
        <f t="shared" si="1"/>
        <v>72647</v>
      </c>
      <c r="S14" s="13">
        <f t="shared" si="2"/>
        <v>4637</v>
      </c>
      <c r="T14" s="13">
        <f>ROUND(IF(R14&gt;100000,R14*30%,IF(R14&gt;75000,R14*20%,IF(R14&gt;50000,R14*10%,0))),0)</f>
        <v>7265</v>
      </c>
      <c r="U14" s="13">
        <v>0</v>
      </c>
      <c r="V14" s="13">
        <f t="shared" si="4"/>
        <v>60745</v>
      </c>
    </row>
    <row r="15" spans="1:25" x14ac:dyDescent="0.25">
      <c r="A15" s="1">
        <v>46023</v>
      </c>
      <c r="B15" t="s">
        <v>51</v>
      </c>
      <c r="C15" s="1">
        <v>45075</v>
      </c>
      <c r="D15" s="1"/>
      <c r="E15" s="1" t="s">
        <v>380</v>
      </c>
      <c r="F15" s="1" t="s">
        <v>397</v>
      </c>
      <c r="G15" s="1" t="str">
        <f>VLOOKUP(tblPayroll[[#This Row],[Employee Id]],Table1[[Employee Id]:[Work Location]],13,0)</f>
        <v>Bangalore</v>
      </c>
      <c r="H15">
        <v>7</v>
      </c>
      <c r="I15">
        <f t="shared" si="0"/>
        <v>24</v>
      </c>
      <c r="J15">
        <v>0</v>
      </c>
      <c r="K15" s="13">
        <f>ROUND(VLOOKUP($B15,'CTC Breakup'!$B$2:$O$51,7,0)/31*$I15,0)</f>
        <v>36290</v>
      </c>
      <c r="L15" s="13">
        <f>ROUND(VLOOKUP($B15,'CTC Breakup'!$B$2:$O$51,8,0)/31*$I15,0)</f>
        <v>14516</v>
      </c>
      <c r="M15" s="13">
        <f>ROUND(VLOOKUP($B15,'CTC Breakup'!$B$2:$O$51,9,0)/31*$I15,0)</f>
        <v>15097</v>
      </c>
      <c r="N15" s="13">
        <f>ROUND(VLOOKUP($B15,'CTC Breakup'!$B$2:$O$51,10,0)/31*$I15,0)</f>
        <v>1548</v>
      </c>
      <c r="O15" s="13">
        <f>ROUND(VLOOKUP($B15,'CTC Breakup'!$B$2:$O$51,11,0)/31*$I15,0)</f>
        <v>774</v>
      </c>
      <c r="P15" s="13">
        <f>ROUND(((VLOOKUP($B15,'CTC Breakup'!$B$2:$N$51,13,0)-VLOOKUP($B15,'CTC Breakup'!$B$2:$N$51,12,0))/22/9)*$J15,0)</f>
        <v>0</v>
      </c>
      <c r="Q15" s="13">
        <v>0</v>
      </c>
      <c r="R15" s="13">
        <f t="shared" si="1"/>
        <v>68225</v>
      </c>
      <c r="S15" s="13">
        <f t="shared" si="2"/>
        <v>4355</v>
      </c>
      <c r="T15" s="13">
        <f t="shared" ref="T15" si="5">ROUND(IF(R15&gt;100000,R15*30%,IF(R15&gt;75000,R15*20%,IF(R15&gt;50000,R15*10%,0))),0)</f>
        <v>6823</v>
      </c>
      <c r="U15" s="13">
        <v>12400</v>
      </c>
      <c r="V15" s="13">
        <f t="shared" si="4"/>
        <v>44647</v>
      </c>
    </row>
    <row r="16" spans="1:25" x14ac:dyDescent="0.25">
      <c r="A16" s="1">
        <v>46023</v>
      </c>
      <c r="B16" t="s">
        <v>52</v>
      </c>
      <c r="C16" s="1">
        <v>45170</v>
      </c>
      <c r="D16" s="1"/>
      <c r="E16" s="1" t="s">
        <v>382</v>
      </c>
      <c r="F16" s="1" t="s">
        <v>353</v>
      </c>
      <c r="G16" s="1" t="str">
        <f>VLOOKUP(tblPayroll[[#This Row],[Employee Id]],Table1[[Employee Id]:[Work Location]],13,0)</f>
        <v>Mumbai</v>
      </c>
      <c r="H16">
        <v>0</v>
      </c>
      <c r="I16">
        <f t="shared" si="0"/>
        <v>31</v>
      </c>
      <c r="J16">
        <v>0</v>
      </c>
      <c r="K16" s="13">
        <f>ROUND(VLOOKUP($B16,'CTC Breakup'!$B$2:$O$51,7,0)/31*$I16,0)</f>
        <v>45834</v>
      </c>
      <c r="L16" s="13">
        <f>ROUND(VLOOKUP($B16,'CTC Breakup'!$B$2:$O$51,8,0)/31*$I16,0)</f>
        <v>18334</v>
      </c>
      <c r="M16" s="13">
        <f>ROUND(VLOOKUP($B16,'CTC Breakup'!$B$2:$O$51,9,0)/31*$I16,0)</f>
        <v>18999</v>
      </c>
      <c r="N16" s="13">
        <f>ROUND(VLOOKUP($B16,'CTC Breakup'!$B$2:$O$51,10,0)/31*$I16,0)</f>
        <v>2000</v>
      </c>
      <c r="O16" s="13">
        <f>ROUND(VLOOKUP($B16,'CTC Breakup'!$B$2:$O$51,11,0)/31*$I16,0)</f>
        <v>1000</v>
      </c>
      <c r="P16" s="13">
        <f>ROUND(((VLOOKUP($B16,'CTC Breakup'!$B$2:$N$51,13,0)-VLOOKUP($B16,'CTC Breakup'!$B$2:$N$51,12,0))/22/9)*$J16,0)</f>
        <v>0</v>
      </c>
      <c r="Q16" s="13">
        <v>20740</v>
      </c>
      <c r="R16" s="13">
        <f t="shared" si="1"/>
        <v>106907</v>
      </c>
      <c r="S16" s="13">
        <f t="shared" si="2"/>
        <v>5500</v>
      </c>
      <c r="T16" s="13">
        <f t="shared" si="3"/>
        <v>32072</v>
      </c>
      <c r="U16" s="13">
        <v>11200</v>
      </c>
      <c r="V16" s="13">
        <f t="shared" si="4"/>
        <v>58135</v>
      </c>
    </row>
    <row r="17" spans="1:22" x14ac:dyDescent="0.25">
      <c r="A17" s="1">
        <v>46023</v>
      </c>
      <c r="B17" t="s">
        <v>53</v>
      </c>
      <c r="C17" s="1">
        <v>45173</v>
      </c>
      <c r="D17" s="1"/>
      <c r="E17" s="1" t="s">
        <v>372</v>
      </c>
      <c r="F17" s="1" t="s">
        <v>353</v>
      </c>
      <c r="G17" s="1" t="str">
        <f>VLOOKUP(tblPayroll[[#This Row],[Employee Id]],Table1[[Employee Id]:[Work Location]],13,0)</f>
        <v>Kolkata</v>
      </c>
      <c r="H17">
        <v>9</v>
      </c>
      <c r="I17">
        <f t="shared" si="0"/>
        <v>22</v>
      </c>
      <c r="J17">
        <v>0</v>
      </c>
      <c r="K17" s="13">
        <f>ROUND(VLOOKUP($B17,'CTC Breakup'!$B$2:$O$51,7,0)/31*$I17,0)</f>
        <v>23065</v>
      </c>
      <c r="L17" s="13">
        <f>ROUND(VLOOKUP($B17,'CTC Breakup'!$B$2:$O$51,8,0)/31*$I17,0)</f>
        <v>9226</v>
      </c>
      <c r="M17" s="13">
        <f>ROUND(VLOOKUP($B17,'CTC Breakup'!$B$2:$O$51,9,0)/31*$I17,0)</f>
        <v>11071</v>
      </c>
      <c r="N17" s="13">
        <f>ROUND(VLOOKUP($B17,'CTC Breakup'!$B$2:$O$51,10,0)/31*$I17,0)</f>
        <v>0</v>
      </c>
      <c r="O17" s="13">
        <f>ROUND(VLOOKUP($B17,'CTC Breakup'!$B$2:$O$51,11,0)/31*$I17,0)</f>
        <v>0</v>
      </c>
      <c r="P17" s="13">
        <f>ROUND(((VLOOKUP($B17,'CTC Breakup'!$B$2:$N$51,13,0)-VLOOKUP($B17,'CTC Breakup'!$B$2:$N$51,12,0))/22/9)*$J17,0)</f>
        <v>0</v>
      </c>
      <c r="Q17" s="13">
        <v>14300</v>
      </c>
      <c r="R17" s="13">
        <f t="shared" si="1"/>
        <v>57662</v>
      </c>
      <c r="S17" s="13">
        <f t="shared" si="2"/>
        <v>2768</v>
      </c>
      <c r="T17" s="13">
        <f t="shared" ref="T17:T18" si="6">ROUND(IF(R17&gt;100000,R17*30%,IF(R17&gt;75000,R17*20%,IF(R17&gt;50000,R17*10%,0))),0)</f>
        <v>5766</v>
      </c>
      <c r="U17" s="13">
        <v>0</v>
      </c>
      <c r="V17" s="13">
        <f t="shared" si="4"/>
        <v>49128</v>
      </c>
    </row>
    <row r="18" spans="1:22" x14ac:dyDescent="0.25">
      <c r="A18" s="1">
        <v>46023</v>
      </c>
      <c r="B18" t="s">
        <v>56</v>
      </c>
      <c r="C18" s="1">
        <v>45236</v>
      </c>
      <c r="D18" s="1"/>
      <c r="E18" s="1" t="s">
        <v>370</v>
      </c>
      <c r="F18" s="1" t="s">
        <v>363</v>
      </c>
      <c r="G18" s="1" t="str">
        <f>VLOOKUP(tblPayroll[[#This Row],[Employee Id]],Table1[[Employee Id]:[Work Location]],13,0)</f>
        <v>Mumbai</v>
      </c>
      <c r="H18">
        <v>0</v>
      </c>
      <c r="I18">
        <f t="shared" si="0"/>
        <v>31</v>
      </c>
      <c r="J18">
        <v>24</v>
      </c>
      <c r="K18" s="13">
        <f>ROUND(VLOOKUP($B18,'CTC Breakup'!$B$2:$O$51,7,0)/31*$I18,0)</f>
        <v>28334</v>
      </c>
      <c r="L18" s="13">
        <f>ROUND(VLOOKUP($B18,'CTC Breakup'!$B$2:$O$51,8,0)/31*$I18,0)</f>
        <v>11334</v>
      </c>
      <c r="M18" s="13">
        <f>ROUND(VLOOKUP($B18,'CTC Breakup'!$B$2:$O$51,9,0)/31*$I18,0)</f>
        <v>13599</v>
      </c>
      <c r="N18" s="13">
        <f>ROUND(VLOOKUP($B18,'CTC Breakup'!$B$2:$O$51,10,0)/31*$I18,0)</f>
        <v>0</v>
      </c>
      <c r="O18" s="13">
        <f>ROUND(VLOOKUP($B18,'CTC Breakup'!$B$2:$O$51,11,0)/31*$I18,0)</f>
        <v>0</v>
      </c>
      <c r="P18" s="13">
        <f>ROUND(((VLOOKUP($B18,'CTC Breakup'!$B$2:$N$51,13,0)-VLOOKUP($B18,'CTC Breakup'!$B$2:$N$51,12,0))/22/9)*$J18,0)</f>
        <v>6457</v>
      </c>
      <c r="Q18" s="13">
        <v>0</v>
      </c>
      <c r="R18" s="13">
        <f t="shared" si="1"/>
        <v>59724</v>
      </c>
      <c r="S18" s="13">
        <f t="shared" si="2"/>
        <v>3400</v>
      </c>
      <c r="T18" s="13">
        <f t="shared" si="6"/>
        <v>5972</v>
      </c>
      <c r="U18" s="13">
        <v>0</v>
      </c>
      <c r="V18" s="13">
        <f t="shared" si="4"/>
        <v>50352</v>
      </c>
    </row>
    <row r="19" spans="1:22" x14ac:dyDescent="0.25">
      <c r="A19" s="1">
        <v>46023</v>
      </c>
      <c r="B19" t="s">
        <v>58</v>
      </c>
      <c r="C19" s="1">
        <v>45320</v>
      </c>
      <c r="D19" s="1"/>
      <c r="E19" s="1" t="s">
        <v>359</v>
      </c>
      <c r="F19" s="1" t="s">
        <v>398</v>
      </c>
      <c r="G19" s="1" t="str">
        <f>VLOOKUP(tblPayroll[[#This Row],[Employee Id]],Table1[[Employee Id]:[Work Location]],13,0)</f>
        <v>Hyderabad</v>
      </c>
      <c r="H19">
        <v>6</v>
      </c>
      <c r="I19">
        <f t="shared" si="0"/>
        <v>25</v>
      </c>
      <c r="J19">
        <v>0</v>
      </c>
      <c r="K19" s="13">
        <f>ROUND(VLOOKUP($B19,'CTC Breakup'!$B$2:$O$51,7,0)/31*$I19,0)</f>
        <v>40323</v>
      </c>
      <c r="L19" s="13">
        <f>ROUND(VLOOKUP($B19,'CTC Breakup'!$B$2:$O$51,8,0)/31*$I19,0)</f>
        <v>16129</v>
      </c>
      <c r="M19" s="13">
        <f>ROUND(VLOOKUP($B19,'CTC Breakup'!$B$2:$O$51,9,0)/31*$I19,0)</f>
        <v>16935</v>
      </c>
      <c r="N19" s="13">
        <f>ROUND(VLOOKUP($B19,'CTC Breakup'!$B$2:$O$51,10,0)/31*$I19,0)</f>
        <v>1613</v>
      </c>
      <c r="O19" s="13">
        <f>ROUND(VLOOKUP($B19,'CTC Breakup'!$B$2:$O$51,11,0)/31*$I19,0)</f>
        <v>806</v>
      </c>
      <c r="P19" s="13">
        <f>ROUND(((VLOOKUP($B19,'CTC Breakup'!$B$2:$N$51,13,0)-VLOOKUP($B19,'CTC Breakup'!$B$2:$N$51,12,0))/22/9)*$J19,0)</f>
        <v>0</v>
      </c>
      <c r="Q19" s="13">
        <v>0</v>
      </c>
      <c r="R19" s="13">
        <f t="shared" si="1"/>
        <v>75806</v>
      </c>
      <c r="S19" s="13">
        <f t="shared" si="2"/>
        <v>4839</v>
      </c>
      <c r="T19" s="13">
        <f t="shared" si="3"/>
        <v>15161</v>
      </c>
      <c r="U19" s="13">
        <v>13800</v>
      </c>
      <c r="V19" s="13">
        <f t="shared" si="4"/>
        <v>42006</v>
      </c>
    </row>
    <row r="20" spans="1:22" x14ac:dyDescent="0.25">
      <c r="A20" s="1">
        <v>46023</v>
      </c>
      <c r="B20" t="s">
        <v>59</v>
      </c>
      <c r="C20" s="1">
        <v>45327</v>
      </c>
      <c r="D20" s="1">
        <v>46084</v>
      </c>
      <c r="E20" s="1" t="s">
        <v>366</v>
      </c>
      <c r="F20" s="1" t="s">
        <v>397</v>
      </c>
      <c r="G20" s="1" t="str">
        <f>VLOOKUP(tblPayroll[[#This Row],[Employee Id]],Table1[[Employee Id]:[Work Location]],13,0)</f>
        <v>Kolkata</v>
      </c>
      <c r="H20">
        <v>0</v>
      </c>
      <c r="I20">
        <f t="shared" si="0"/>
        <v>31</v>
      </c>
      <c r="J20">
        <v>0</v>
      </c>
      <c r="K20" s="13">
        <f>ROUND(VLOOKUP($B20,'CTC Breakup'!$B$2:$O$51,7,0)/31*$I20,0)</f>
        <v>32500</v>
      </c>
      <c r="L20" s="13">
        <f>ROUND(VLOOKUP($B20,'CTC Breakup'!$B$2:$O$51,8,0)/31*$I20,0)</f>
        <v>13000</v>
      </c>
      <c r="M20" s="13">
        <f>ROUND(VLOOKUP($B20,'CTC Breakup'!$B$2:$O$51,9,0)/31*$I20,0)</f>
        <v>15600</v>
      </c>
      <c r="N20" s="13">
        <f>ROUND(VLOOKUP($B20,'CTC Breakup'!$B$2:$O$51,10,0)/31*$I20,0)</f>
        <v>0</v>
      </c>
      <c r="O20" s="13">
        <f>ROUND(VLOOKUP($B20,'CTC Breakup'!$B$2:$O$51,11,0)/31*$I20,0)</f>
        <v>0</v>
      </c>
      <c r="P20" s="13">
        <f>ROUND(((VLOOKUP($B20,'CTC Breakup'!$B$2:$N$51,13,0)-VLOOKUP($B20,'CTC Breakup'!$B$2:$N$51,12,0))/22/9)*$J20,0)</f>
        <v>0</v>
      </c>
      <c r="Q20" s="13">
        <v>0</v>
      </c>
      <c r="R20" s="13">
        <f t="shared" si="1"/>
        <v>61100</v>
      </c>
      <c r="S20" s="13">
        <f t="shared" si="2"/>
        <v>3900</v>
      </c>
      <c r="T20" s="13">
        <f t="shared" ref="T20:T21" si="7">ROUND(IF(R20&gt;100000,R20*30%,IF(R20&gt;75000,R20*20%,IF(R20&gt;50000,R20*10%,0))),0)</f>
        <v>6110</v>
      </c>
      <c r="U20" s="13">
        <v>0</v>
      </c>
      <c r="V20" s="13">
        <f t="shared" si="4"/>
        <v>51090</v>
      </c>
    </row>
    <row r="21" spans="1:22" x14ac:dyDescent="0.25">
      <c r="A21" s="1">
        <v>46023</v>
      </c>
      <c r="B21" t="s">
        <v>60</v>
      </c>
      <c r="C21" s="1">
        <v>45328</v>
      </c>
      <c r="D21" s="1"/>
      <c r="E21" s="1" t="s">
        <v>366</v>
      </c>
      <c r="F21" s="1" t="s">
        <v>397</v>
      </c>
      <c r="G21" s="1" t="str">
        <f>VLOOKUP(tblPayroll[[#This Row],[Employee Id]],Table1[[Employee Id]:[Work Location]],13,0)</f>
        <v>Chennai</v>
      </c>
      <c r="H21">
        <v>0</v>
      </c>
      <c r="I21">
        <f t="shared" si="0"/>
        <v>31</v>
      </c>
      <c r="J21">
        <v>0</v>
      </c>
      <c r="K21" s="13">
        <f>ROUND(VLOOKUP($B21,'CTC Breakup'!$B$2:$O$51,7,0)/31*$I21,0)</f>
        <v>30209</v>
      </c>
      <c r="L21" s="13">
        <f>ROUND(VLOOKUP($B21,'CTC Breakup'!$B$2:$O$51,8,0)/31*$I21,0)</f>
        <v>12084</v>
      </c>
      <c r="M21" s="13">
        <f>ROUND(VLOOKUP($B21,'CTC Breakup'!$B$2:$O$51,9,0)/31*$I21,0)</f>
        <v>14499</v>
      </c>
      <c r="N21" s="13">
        <f>ROUND(VLOOKUP($B21,'CTC Breakup'!$B$2:$O$51,10,0)/31*$I21,0)</f>
        <v>0</v>
      </c>
      <c r="O21" s="13">
        <f>ROUND(VLOOKUP($B21,'CTC Breakup'!$B$2:$O$51,11,0)/31*$I21,0)</f>
        <v>0</v>
      </c>
      <c r="P21" s="13">
        <f>ROUND(((VLOOKUP($B21,'CTC Breakup'!$B$2:$N$51,13,0)-VLOOKUP($B21,'CTC Breakup'!$B$2:$N$51,12,0))/22/9)*$J21,0)</f>
        <v>0</v>
      </c>
      <c r="Q21" s="13">
        <v>0</v>
      </c>
      <c r="R21" s="13">
        <f t="shared" si="1"/>
        <v>56792</v>
      </c>
      <c r="S21" s="13">
        <f t="shared" si="2"/>
        <v>3625</v>
      </c>
      <c r="T21" s="13">
        <f t="shared" si="7"/>
        <v>5679</v>
      </c>
      <c r="U21" s="13">
        <v>0</v>
      </c>
      <c r="V21" s="13">
        <f t="shared" si="4"/>
        <v>47488</v>
      </c>
    </row>
    <row r="22" spans="1:22" x14ac:dyDescent="0.25">
      <c r="A22" s="1">
        <v>46023</v>
      </c>
      <c r="B22" t="s">
        <v>62</v>
      </c>
      <c r="C22" s="1">
        <v>45418</v>
      </c>
      <c r="D22" s="1"/>
      <c r="E22" s="1" t="s">
        <v>359</v>
      </c>
      <c r="F22" s="1" t="s">
        <v>398</v>
      </c>
      <c r="G22" s="1" t="str">
        <f>VLOOKUP(tblPayroll[[#This Row],[Employee Id]],Table1[[Employee Id]:[Work Location]],13,0)</f>
        <v>Mumbai</v>
      </c>
      <c r="H22">
        <v>0</v>
      </c>
      <c r="I22">
        <f t="shared" si="0"/>
        <v>31</v>
      </c>
      <c r="J22">
        <v>0</v>
      </c>
      <c r="K22" s="13">
        <f>ROUND(VLOOKUP($B22,'CTC Breakup'!$B$2:$O$51,7,0)/31*$I22,0)</f>
        <v>47917</v>
      </c>
      <c r="L22" s="13">
        <f>ROUND(VLOOKUP($B22,'CTC Breakup'!$B$2:$O$51,8,0)/31*$I22,0)</f>
        <v>19167</v>
      </c>
      <c r="M22" s="13">
        <f>ROUND(VLOOKUP($B22,'CTC Breakup'!$B$2:$O$51,9,0)/31*$I22,0)</f>
        <v>19999</v>
      </c>
      <c r="N22" s="13">
        <f>ROUND(VLOOKUP($B22,'CTC Breakup'!$B$2:$O$51,10,0)/31*$I22,0)</f>
        <v>2000</v>
      </c>
      <c r="O22" s="13">
        <f>ROUND(VLOOKUP($B22,'CTC Breakup'!$B$2:$O$51,11,0)/31*$I22,0)</f>
        <v>1000</v>
      </c>
      <c r="P22" s="13">
        <f>ROUND(((VLOOKUP($B22,'CTC Breakup'!$B$2:$N$51,13,0)-VLOOKUP($B22,'CTC Breakup'!$B$2:$N$51,12,0))/22/9)*$J22,0)</f>
        <v>0</v>
      </c>
      <c r="Q22" s="13">
        <v>0</v>
      </c>
      <c r="R22" s="13">
        <f t="shared" si="1"/>
        <v>90083</v>
      </c>
      <c r="S22" s="13">
        <f t="shared" si="2"/>
        <v>5750</v>
      </c>
      <c r="T22" s="13">
        <f t="shared" si="3"/>
        <v>18017</v>
      </c>
      <c r="U22" s="13">
        <v>0</v>
      </c>
      <c r="V22" s="13">
        <f t="shared" si="4"/>
        <v>66316</v>
      </c>
    </row>
    <row r="23" spans="1:22" x14ac:dyDescent="0.25">
      <c r="A23" s="1">
        <v>46023</v>
      </c>
      <c r="B23" t="s">
        <v>64</v>
      </c>
      <c r="C23" s="1">
        <v>45502</v>
      </c>
      <c r="D23" s="1"/>
      <c r="E23" s="1" t="s">
        <v>381</v>
      </c>
      <c r="F23" s="1" t="s">
        <v>353</v>
      </c>
      <c r="G23" s="1" t="str">
        <f>VLOOKUP(tblPayroll[[#This Row],[Employee Id]],Table1[[Employee Id]:[Work Location]],13,0)</f>
        <v>Hyderabad</v>
      </c>
      <c r="H23">
        <v>0</v>
      </c>
      <c r="I23">
        <f t="shared" si="0"/>
        <v>31</v>
      </c>
      <c r="J23">
        <v>17</v>
      </c>
      <c r="K23" s="13">
        <f>ROUND(VLOOKUP($B23,'CTC Breakup'!$B$2:$O$51,7,0)/31*$I23,0)</f>
        <v>18750</v>
      </c>
      <c r="L23" s="13">
        <f>ROUND(VLOOKUP($B23,'CTC Breakup'!$B$2:$O$51,8,0)/31*$I23,0)</f>
        <v>7500</v>
      </c>
      <c r="M23" s="13">
        <f>ROUND(VLOOKUP($B23,'CTC Breakup'!$B$2:$O$51,9,0)/31*$I23,0)</f>
        <v>9000</v>
      </c>
      <c r="N23" s="13">
        <f>ROUND(VLOOKUP($B23,'CTC Breakup'!$B$2:$O$51,10,0)/31*$I23,0)</f>
        <v>0</v>
      </c>
      <c r="O23" s="13">
        <f>ROUND(VLOOKUP($B23,'CTC Breakup'!$B$2:$O$51,11,0)/31*$I23,0)</f>
        <v>0</v>
      </c>
      <c r="P23" s="13">
        <f>ROUND(((VLOOKUP($B23,'CTC Breakup'!$B$2:$N$51,13,0)-VLOOKUP($B23,'CTC Breakup'!$B$2:$N$51,12,0))/22/9)*$J23,0)</f>
        <v>3027</v>
      </c>
      <c r="Q23" s="13">
        <v>9450</v>
      </c>
      <c r="R23" s="13">
        <f t="shared" si="1"/>
        <v>47727</v>
      </c>
      <c r="S23" s="13">
        <f t="shared" si="2"/>
        <v>2250</v>
      </c>
      <c r="T23" s="13">
        <f t="shared" ref="T23:T24" si="8">ROUND(IF(R23&gt;100000,R23*30%,IF(R23&gt;75000,R23*20%,IF(R23&gt;50000,R23*10%,0))),0)</f>
        <v>0</v>
      </c>
      <c r="U23" s="13">
        <v>0</v>
      </c>
      <c r="V23" s="13">
        <f t="shared" si="4"/>
        <v>45477</v>
      </c>
    </row>
    <row r="24" spans="1:22" x14ac:dyDescent="0.25">
      <c r="A24" s="1">
        <v>46023</v>
      </c>
      <c r="B24" t="s">
        <v>65</v>
      </c>
      <c r="C24" s="1">
        <v>45509</v>
      </c>
      <c r="D24" s="1"/>
      <c r="E24" s="1" t="s">
        <v>370</v>
      </c>
      <c r="F24" s="1" t="s">
        <v>363</v>
      </c>
      <c r="G24" s="1" t="str">
        <f>VLOOKUP(tblPayroll[[#This Row],[Employee Id]],Table1[[Employee Id]:[Work Location]],13,0)</f>
        <v>Kolkata</v>
      </c>
      <c r="H24">
        <v>0</v>
      </c>
      <c r="I24">
        <f t="shared" si="0"/>
        <v>31</v>
      </c>
      <c r="J24">
        <v>0</v>
      </c>
      <c r="K24" s="13">
        <f>ROUND(VLOOKUP($B24,'CTC Breakup'!$B$2:$O$51,7,0)/31*$I24,0)</f>
        <v>27084</v>
      </c>
      <c r="L24" s="13">
        <f>ROUND(VLOOKUP($B24,'CTC Breakup'!$B$2:$O$51,8,0)/31*$I24,0)</f>
        <v>10834</v>
      </c>
      <c r="M24" s="13">
        <f>ROUND(VLOOKUP($B24,'CTC Breakup'!$B$2:$O$51,9,0)/31*$I24,0)</f>
        <v>12999</v>
      </c>
      <c r="N24" s="13">
        <f>ROUND(VLOOKUP($B24,'CTC Breakup'!$B$2:$O$51,10,0)/31*$I24,0)</f>
        <v>0</v>
      </c>
      <c r="O24" s="13">
        <f>ROUND(VLOOKUP($B24,'CTC Breakup'!$B$2:$O$51,11,0)/31*$I24,0)</f>
        <v>0</v>
      </c>
      <c r="P24" s="13">
        <f>ROUND(((VLOOKUP($B24,'CTC Breakup'!$B$2:$N$51,13,0)-VLOOKUP($B24,'CTC Breakup'!$B$2:$N$51,12,0))/22/9)*$J24,0)</f>
        <v>0</v>
      </c>
      <c r="Q24" s="13">
        <v>0</v>
      </c>
      <c r="R24" s="13">
        <f t="shared" si="1"/>
        <v>50917</v>
      </c>
      <c r="S24" s="13">
        <f t="shared" si="2"/>
        <v>3250</v>
      </c>
      <c r="T24" s="13">
        <f t="shared" si="8"/>
        <v>5092</v>
      </c>
      <c r="U24" s="13">
        <v>0</v>
      </c>
      <c r="V24" s="13">
        <f t="shared" si="4"/>
        <v>42575</v>
      </c>
    </row>
    <row r="25" spans="1:22" x14ac:dyDescent="0.25">
      <c r="A25" s="1">
        <v>46023</v>
      </c>
      <c r="B25" t="s">
        <v>66</v>
      </c>
      <c r="C25" s="1">
        <v>45537</v>
      </c>
      <c r="D25" s="1">
        <v>46098</v>
      </c>
      <c r="E25" s="1" t="s">
        <v>357</v>
      </c>
      <c r="F25" s="1" t="s">
        <v>354</v>
      </c>
      <c r="G25" s="1" t="str">
        <f>VLOOKUP(tblPayroll[[#This Row],[Employee Id]],Table1[[Employee Id]:[Work Location]],13,0)</f>
        <v>Hyderabad</v>
      </c>
      <c r="H25">
        <v>10</v>
      </c>
      <c r="I25">
        <f t="shared" si="0"/>
        <v>21</v>
      </c>
      <c r="J25">
        <v>22</v>
      </c>
      <c r="K25" s="13">
        <f>ROUND(VLOOKUP($B25,'CTC Breakup'!$B$2:$O$51,7,0)/31*$I25,0)</f>
        <v>40504</v>
      </c>
      <c r="L25" s="13">
        <f>ROUND(VLOOKUP($B25,'CTC Breakup'!$B$2:$O$51,8,0)/31*$I25,0)</f>
        <v>16202</v>
      </c>
      <c r="M25" s="13">
        <f>ROUND(VLOOKUP($B25,'CTC Breakup'!$B$2:$O$51,9,0)/31*$I25,0)</f>
        <v>17409</v>
      </c>
      <c r="N25" s="13">
        <f>ROUND(VLOOKUP($B25,'CTC Breakup'!$B$2:$O$51,10,0)/31*$I25,0)</f>
        <v>1355</v>
      </c>
      <c r="O25" s="13">
        <f>ROUND(VLOOKUP($B25,'CTC Breakup'!$B$2:$O$51,11,0)/31*$I25,0)</f>
        <v>677</v>
      </c>
      <c r="P25" s="13">
        <f>ROUND(((VLOOKUP($B25,'CTC Breakup'!$B$2:$N$51,13,0)-VLOOKUP($B25,'CTC Breakup'!$B$2:$N$51,12,0))/22/9)*$J25,0)</f>
        <v>12490</v>
      </c>
      <c r="Q25" s="13">
        <v>0</v>
      </c>
      <c r="R25" s="13">
        <f t="shared" si="1"/>
        <v>88637</v>
      </c>
      <c r="S25" s="13">
        <f t="shared" si="2"/>
        <v>4860</v>
      </c>
      <c r="T25" s="13">
        <f t="shared" si="3"/>
        <v>17727</v>
      </c>
      <c r="U25" s="13">
        <v>11100</v>
      </c>
      <c r="V25" s="13">
        <f t="shared" si="4"/>
        <v>54950</v>
      </c>
    </row>
    <row r="26" spans="1:22" x14ac:dyDescent="0.25">
      <c r="A26" s="1">
        <v>46023</v>
      </c>
      <c r="B26" t="s">
        <v>68</v>
      </c>
      <c r="C26" s="1">
        <v>45579</v>
      </c>
      <c r="D26" s="1"/>
      <c r="E26" s="1" t="s">
        <v>366</v>
      </c>
      <c r="F26" s="1" t="s">
        <v>397</v>
      </c>
      <c r="G26" s="1" t="str">
        <f>VLOOKUP(tblPayroll[[#This Row],[Employee Id]],Table1[[Employee Id]:[Work Location]],13,0)</f>
        <v>Bangalore</v>
      </c>
      <c r="H26">
        <v>10</v>
      </c>
      <c r="I26">
        <f t="shared" si="0"/>
        <v>21</v>
      </c>
      <c r="J26">
        <v>17</v>
      </c>
      <c r="K26" s="13">
        <f>ROUND(VLOOKUP($B26,'CTC Breakup'!$B$2:$O$51,7,0)/31*$I26,0)</f>
        <v>19758</v>
      </c>
      <c r="L26" s="13">
        <f>ROUND(VLOOKUP($B26,'CTC Breakup'!$B$2:$O$51,8,0)/31*$I26,0)</f>
        <v>7903</v>
      </c>
      <c r="M26" s="13">
        <f>ROUND(VLOOKUP($B26,'CTC Breakup'!$B$2:$O$51,9,0)/31*$I26,0)</f>
        <v>9483</v>
      </c>
      <c r="N26" s="13">
        <f>ROUND(VLOOKUP($B26,'CTC Breakup'!$B$2:$O$51,10,0)/31*$I26,0)</f>
        <v>0</v>
      </c>
      <c r="O26" s="13">
        <f>ROUND(VLOOKUP($B26,'CTC Breakup'!$B$2:$O$51,11,0)/31*$I26,0)</f>
        <v>0</v>
      </c>
      <c r="P26" s="13">
        <f>ROUND(((VLOOKUP($B26,'CTC Breakup'!$B$2:$N$51,13,0)-VLOOKUP($B26,'CTC Breakup'!$B$2:$N$51,12,0))/22/9)*$J26,0)</f>
        <v>4708</v>
      </c>
      <c r="Q26" s="13">
        <v>0</v>
      </c>
      <c r="R26" s="13">
        <f t="shared" si="1"/>
        <v>41852</v>
      </c>
      <c r="S26" s="13">
        <f t="shared" si="2"/>
        <v>2371</v>
      </c>
      <c r="T26" s="13">
        <f t="shared" si="3"/>
        <v>0</v>
      </c>
      <c r="U26" s="13">
        <v>11400</v>
      </c>
      <c r="V26" s="13">
        <f t="shared" si="4"/>
        <v>28081</v>
      </c>
    </row>
    <row r="27" spans="1:22" x14ac:dyDescent="0.25">
      <c r="A27" s="1">
        <v>46023</v>
      </c>
      <c r="B27" t="s">
        <v>69</v>
      </c>
      <c r="C27" s="1">
        <v>45607</v>
      </c>
      <c r="D27" s="1"/>
      <c r="E27" s="1" t="s">
        <v>368</v>
      </c>
      <c r="F27" s="1" t="s">
        <v>398</v>
      </c>
      <c r="G27" s="1" t="str">
        <f>VLOOKUP(tblPayroll[[#This Row],[Employee Id]],Table1[[Employee Id]:[Work Location]],13,0)</f>
        <v>Chennai</v>
      </c>
      <c r="H27">
        <v>0</v>
      </c>
      <c r="I27">
        <f t="shared" si="0"/>
        <v>31</v>
      </c>
      <c r="J27">
        <v>0</v>
      </c>
      <c r="K27" s="13">
        <f>ROUND(VLOOKUP($B27,'CTC Breakup'!$B$2:$O$51,7,0)/31*$I27,0)</f>
        <v>31250</v>
      </c>
      <c r="L27" s="13">
        <f>ROUND(VLOOKUP($B27,'CTC Breakup'!$B$2:$O$51,8,0)/31*$I27,0)</f>
        <v>12500</v>
      </c>
      <c r="M27" s="13">
        <f>ROUND(VLOOKUP($B27,'CTC Breakup'!$B$2:$O$51,9,0)/31*$I27,0)</f>
        <v>15000</v>
      </c>
      <c r="N27" s="13">
        <f>ROUND(VLOOKUP($B27,'CTC Breakup'!$B$2:$O$51,10,0)/31*$I27,0)</f>
        <v>0</v>
      </c>
      <c r="O27" s="13">
        <f>ROUND(VLOOKUP($B27,'CTC Breakup'!$B$2:$O$51,11,0)/31*$I27,0)</f>
        <v>0</v>
      </c>
      <c r="P27" s="13">
        <f>ROUND(((VLOOKUP($B27,'CTC Breakup'!$B$2:$N$51,13,0)-VLOOKUP($B27,'CTC Breakup'!$B$2:$N$51,12,0))/22/9)*$J27,0)</f>
        <v>0</v>
      </c>
      <c r="Q27" s="13">
        <v>0</v>
      </c>
      <c r="R27" s="13">
        <f t="shared" si="1"/>
        <v>58750</v>
      </c>
      <c r="S27" s="13">
        <f t="shared" si="2"/>
        <v>3750</v>
      </c>
      <c r="T27" s="13">
        <f>ROUND(IF(R27&gt;100000,R27*30%,IF(R27&gt;75000,R27*20%,IF(R27&gt;50000,R27*10%,0))),0)</f>
        <v>5875</v>
      </c>
      <c r="U27" s="13">
        <v>0</v>
      </c>
      <c r="V27" s="13">
        <f t="shared" si="4"/>
        <v>49125</v>
      </c>
    </row>
    <row r="28" spans="1:22" x14ac:dyDescent="0.25">
      <c r="A28" s="1">
        <v>46023</v>
      </c>
      <c r="B28" t="s">
        <v>70</v>
      </c>
      <c r="C28" s="1">
        <v>45614</v>
      </c>
      <c r="D28" s="1"/>
      <c r="E28" s="1" t="s">
        <v>365</v>
      </c>
      <c r="F28" s="1" t="s">
        <v>354</v>
      </c>
      <c r="G28" s="1" t="str">
        <f>VLOOKUP(tblPayroll[[#This Row],[Employee Id]],Table1[[Employee Id]:[Work Location]],13,0)</f>
        <v>Bangalore</v>
      </c>
      <c r="H28">
        <v>0</v>
      </c>
      <c r="I28">
        <f t="shared" si="0"/>
        <v>31</v>
      </c>
      <c r="J28">
        <v>0</v>
      </c>
      <c r="K28" s="13">
        <f>ROUND(VLOOKUP($B28,'CTC Breakup'!$B$2:$O$51,7,0)/31*$I28,0)</f>
        <v>52084</v>
      </c>
      <c r="L28" s="13">
        <f>ROUND(VLOOKUP($B28,'CTC Breakup'!$B$2:$O$51,8,0)/31*$I28,0)</f>
        <v>20834</v>
      </c>
      <c r="M28" s="13">
        <f>ROUND(VLOOKUP($B28,'CTC Breakup'!$B$2:$O$51,9,0)/31*$I28,0)</f>
        <v>21999</v>
      </c>
      <c r="N28" s="13">
        <f>ROUND(VLOOKUP($B28,'CTC Breakup'!$B$2:$O$51,10,0)/31*$I28,0)</f>
        <v>2000</v>
      </c>
      <c r="O28" s="13">
        <f>ROUND(VLOOKUP($B28,'CTC Breakup'!$B$2:$O$51,11,0)/31*$I28,0)</f>
        <v>1000</v>
      </c>
      <c r="P28" s="13">
        <f>ROUND(((VLOOKUP($B28,'CTC Breakup'!$B$2:$N$51,13,0)-VLOOKUP($B28,'CTC Breakup'!$B$2:$N$51,12,0))/22/9)*$J28,0)</f>
        <v>0</v>
      </c>
      <c r="Q28" s="13">
        <v>0</v>
      </c>
      <c r="R28" s="13">
        <f t="shared" si="1"/>
        <v>97917</v>
      </c>
      <c r="S28" s="13">
        <f t="shared" si="2"/>
        <v>6250</v>
      </c>
      <c r="T28" s="13">
        <f t="shared" si="3"/>
        <v>19583</v>
      </c>
      <c r="U28" s="13">
        <v>0</v>
      </c>
      <c r="V28" s="13">
        <f t="shared" si="4"/>
        <v>72084</v>
      </c>
    </row>
    <row r="29" spans="1:22" x14ac:dyDescent="0.25">
      <c r="A29" s="1">
        <v>46023</v>
      </c>
      <c r="B29" t="s">
        <v>71</v>
      </c>
      <c r="C29" s="1">
        <v>45649</v>
      </c>
      <c r="D29" s="1">
        <v>46041</v>
      </c>
      <c r="E29" s="1" t="s">
        <v>368</v>
      </c>
      <c r="F29" s="1" t="s">
        <v>398</v>
      </c>
      <c r="G29" s="1" t="str">
        <f>VLOOKUP(tblPayroll[[#This Row],[Employee Id]],Table1[[Employee Id]:[Work Location]],13,0)</f>
        <v>Chennai</v>
      </c>
      <c r="H29">
        <v>0</v>
      </c>
      <c r="I29">
        <v>19</v>
      </c>
      <c r="J29">
        <v>17</v>
      </c>
      <c r="K29" s="13">
        <f>ROUND(VLOOKUP($B29,'CTC Breakup'!$B$2:$O$51,7,0)/31*$I29,0)</f>
        <v>15961</v>
      </c>
      <c r="L29" s="13">
        <f>ROUND(VLOOKUP($B29,'CTC Breakup'!$B$2:$O$51,8,0)/31*$I29,0)</f>
        <v>6385</v>
      </c>
      <c r="M29" s="13">
        <f>ROUND(VLOOKUP($B29,'CTC Breakup'!$B$2:$O$51,9,0)/31*$I29,0)</f>
        <v>7661</v>
      </c>
      <c r="N29" s="13">
        <f>ROUND(VLOOKUP($B29,'CTC Breakup'!$B$2:$O$51,10,0)/31*$I29,0)</f>
        <v>0</v>
      </c>
      <c r="O29" s="13">
        <f>ROUND(VLOOKUP($B29,'CTC Breakup'!$B$2:$O$51,11,0)/31*$I29,0)</f>
        <v>0</v>
      </c>
      <c r="P29" s="13">
        <f>ROUND(((VLOOKUP($B29,'CTC Breakup'!$B$2:$N$51,13,0)-VLOOKUP($B29,'CTC Breakup'!$B$2:$N$51,12,0))/22/9)*$J29,0)</f>
        <v>4203</v>
      </c>
      <c r="Q29" s="13">
        <v>0</v>
      </c>
      <c r="R29" s="13">
        <f t="shared" si="1"/>
        <v>34210</v>
      </c>
      <c r="S29" s="13">
        <f t="shared" si="2"/>
        <v>1915</v>
      </c>
      <c r="T29" s="13">
        <f t="shared" si="3"/>
        <v>0</v>
      </c>
      <c r="U29" s="13">
        <v>0</v>
      </c>
      <c r="V29" s="13">
        <f t="shared" si="4"/>
        <v>32295</v>
      </c>
    </row>
    <row r="30" spans="1:22" x14ac:dyDescent="0.25">
      <c r="A30" s="1">
        <v>46023</v>
      </c>
      <c r="B30" t="s">
        <v>72</v>
      </c>
      <c r="C30" s="1">
        <v>45663</v>
      </c>
      <c r="D30" s="1"/>
      <c r="E30" s="1" t="s">
        <v>368</v>
      </c>
      <c r="F30" s="1" t="s">
        <v>398</v>
      </c>
      <c r="G30" s="1" t="str">
        <f>VLOOKUP(tblPayroll[[#This Row],[Employee Id]],Table1[[Employee Id]:[Work Location]],13,0)</f>
        <v>Mumbai</v>
      </c>
      <c r="H30">
        <v>0</v>
      </c>
      <c r="I30">
        <f t="shared" si="0"/>
        <v>31</v>
      </c>
      <c r="J30">
        <v>25</v>
      </c>
      <c r="K30" s="13">
        <f>ROUND(VLOOKUP($B30,'CTC Breakup'!$B$2:$O$51,7,0)/31*$I30,0)</f>
        <v>25000</v>
      </c>
      <c r="L30" s="13">
        <f>ROUND(VLOOKUP($B30,'CTC Breakup'!$B$2:$O$51,8,0)/31*$I30,0)</f>
        <v>10000</v>
      </c>
      <c r="M30" s="13">
        <f>ROUND(VLOOKUP($B30,'CTC Breakup'!$B$2:$O$51,9,0)/31*$I30,0)</f>
        <v>12000</v>
      </c>
      <c r="N30" s="13">
        <f>ROUND(VLOOKUP($B30,'CTC Breakup'!$B$2:$O$51,10,0)/31*$I30,0)</f>
        <v>0</v>
      </c>
      <c r="O30" s="13">
        <f>ROUND(VLOOKUP($B30,'CTC Breakup'!$B$2:$O$51,11,0)/31*$I30,0)</f>
        <v>0</v>
      </c>
      <c r="P30" s="13">
        <f>ROUND(((VLOOKUP($B30,'CTC Breakup'!$B$2:$N$51,13,0)-VLOOKUP($B30,'CTC Breakup'!$B$2:$N$51,12,0))/22/9)*$J30,0)</f>
        <v>5934</v>
      </c>
      <c r="Q30" s="13">
        <v>0</v>
      </c>
      <c r="R30" s="13">
        <f t="shared" si="1"/>
        <v>52934</v>
      </c>
      <c r="S30" s="13">
        <f t="shared" si="2"/>
        <v>3000</v>
      </c>
      <c r="T30" s="13">
        <f>ROUND(IF(R30&gt;100000,R30*30%,IF(R30&gt;75000,R30*20%,IF(R30&gt;50000,R30*10%,0))),0)</f>
        <v>5293</v>
      </c>
      <c r="U30" s="13">
        <v>0</v>
      </c>
      <c r="V30" s="13">
        <f t="shared" si="4"/>
        <v>44641</v>
      </c>
    </row>
    <row r="31" spans="1:22" x14ac:dyDescent="0.25">
      <c r="A31" s="1">
        <v>46023</v>
      </c>
      <c r="B31" t="s">
        <v>74</v>
      </c>
      <c r="C31" s="1">
        <v>45782</v>
      </c>
      <c r="D31" s="1"/>
      <c r="E31" s="1" t="s">
        <v>371</v>
      </c>
      <c r="F31" s="1" t="s">
        <v>363</v>
      </c>
      <c r="G31" s="1" t="str">
        <f>VLOOKUP(tblPayroll[[#This Row],[Employee Id]],Table1[[Employee Id]:[Work Location]],13,0)</f>
        <v>Chennai</v>
      </c>
      <c r="H31">
        <v>0</v>
      </c>
      <c r="I31">
        <f t="shared" si="0"/>
        <v>31</v>
      </c>
      <c r="J31">
        <v>23</v>
      </c>
      <c r="K31" s="13">
        <f>ROUND(VLOOKUP($B31,'CTC Breakup'!$B$2:$O$51,7,0)/31*$I31,0)</f>
        <v>19792</v>
      </c>
      <c r="L31" s="13">
        <f>ROUND(VLOOKUP($B31,'CTC Breakup'!$B$2:$O$51,8,0)/31*$I31,0)</f>
        <v>7917</v>
      </c>
      <c r="M31" s="13">
        <f>ROUND(VLOOKUP($B31,'CTC Breakup'!$B$2:$O$51,9,0)/31*$I31,0)</f>
        <v>9499</v>
      </c>
      <c r="N31" s="13">
        <f>ROUND(VLOOKUP($B31,'CTC Breakup'!$B$2:$O$51,10,0)/31*$I31,0)</f>
        <v>0</v>
      </c>
      <c r="O31" s="13">
        <f>ROUND(VLOOKUP($B31,'CTC Breakup'!$B$2:$O$51,11,0)/31*$I31,0)</f>
        <v>0</v>
      </c>
      <c r="P31" s="13">
        <f>ROUND(((VLOOKUP($B31,'CTC Breakup'!$B$2:$N$51,13,0)-VLOOKUP($B31,'CTC Breakup'!$B$2:$N$51,12,0))/22/9)*$J31,0)</f>
        <v>4322</v>
      </c>
      <c r="Q31" s="13">
        <v>0</v>
      </c>
      <c r="R31" s="13">
        <f t="shared" si="1"/>
        <v>41530</v>
      </c>
      <c r="S31" s="13">
        <f t="shared" si="2"/>
        <v>2375</v>
      </c>
      <c r="T31" s="13">
        <f t="shared" si="3"/>
        <v>0</v>
      </c>
      <c r="U31" s="13">
        <v>0</v>
      </c>
      <c r="V31" s="13">
        <f t="shared" si="4"/>
        <v>39155</v>
      </c>
    </row>
    <row r="32" spans="1:22" x14ac:dyDescent="0.25">
      <c r="A32" s="1">
        <v>46023</v>
      </c>
      <c r="B32" t="s">
        <v>78</v>
      </c>
      <c r="C32" s="1">
        <v>45852</v>
      </c>
      <c r="D32" s="1"/>
      <c r="E32" s="1" t="s">
        <v>367</v>
      </c>
      <c r="F32" s="1" t="s">
        <v>397</v>
      </c>
      <c r="G32" s="1" t="str">
        <f>VLOOKUP(tblPayroll[[#This Row],[Employee Id]],Table1[[Employee Id]:[Work Location]],13,0)</f>
        <v>Mumbai</v>
      </c>
      <c r="H32">
        <v>0</v>
      </c>
      <c r="I32">
        <f t="shared" si="0"/>
        <v>31</v>
      </c>
      <c r="J32">
        <v>25</v>
      </c>
      <c r="K32" s="13">
        <f>ROUND(VLOOKUP($B32,'CTC Breakup'!$B$2:$O$51,7,0)/31*$I32,0)</f>
        <v>18750</v>
      </c>
      <c r="L32" s="13">
        <f>ROUND(VLOOKUP($B32,'CTC Breakup'!$B$2:$O$51,8,0)/31*$I32,0)</f>
        <v>7500</v>
      </c>
      <c r="M32" s="13">
        <f>ROUND(VLOOKUP($B32,'CTC Breakup'!$B$2:$O$51,9,0)/31*$I32,0)</f>
        <v>9000</v>
      </c>
      <c r="N32" s="13">
        <f>ROUND(VLOOKUP($B32,'CTC Breakup'!$B$2:$O$51,10,0)/31*$I32,0)</f>
        <v>0</v>
      </c>
      <c r="O32" s="13">
        <f>ROUND(VLOOKUP($B32,'CTC Breakup'!$B$2:$O$51,11,0)/31*$I32,0)</f>
        <v>0</v>
      </c>
      <c r="P32" s="13">
        <f>ROUND(((VLOOKUP($B32,'CTC Breakup'!$B$2:$N$51,13,0)-VLOOKUP($B32,'CTC Breakup'!$B$2:$N$51,12,0))/22/9)*$J32,0)</f>
        <v>4451</v>
      </c>
      <c r="Q32" s="13">
        <v>0</v>
      </c>
      <c r="R32" s="13">
        <f t="shared" si="1"/>
        <v>39701</v>
      </c>
      <c r="S32" s="13">
        <f t="shared" si="2"/>
        <v>2250</v>
      </c>
      <c r="T32" s="13">
        <f t="shared" si="3"/>
        <v>0</v>
      </c>
      <c r="U32" s="13">
        <v>0</v>
      </c>
      <c r="V32" s="13">
        <f t="shared" si="4"/>
        <v>37451</v>
      </c>
    </row>
    <row r="33" spans="1:22" x14ac:dyDescent="0.25">
      <c r="A33" s="1">
        <v>46023</v>
      </c>
      <c r="B33" t="s">
        <v>80</v>
      </c>
      <c r="C33" s="1">
        <v>45901</v>
      </c>
      <c r="D33" s="1"/>
      <c r="E33" s="1" t="s">
        <v>362</v>
      </c>
      <c r="F33" s="1" t="s">
        <v>354</v>
      </c>
      <c r="G33" s="1" t="str">
        <f>VLOOKUP(tblPayroll[[#This Row],[Employee Id]],Table1[[Employee Id]:[Work Location]],13,0)</f>
        <v>Kolkata</v>
      </c>
      <c r="H33">
        <v>0</v>
      </c>
      <c r="I33">
        <f t="shared" si="0"/>
        <v>31</v>
      </c>
      <c r="J33">
        <v>20</v>
      </c>
      <c r="K33" s="13">
        <f>ROUND(VLOOKUP($B33,'CTC Breakup'!$B$2:$O$51,7,0)/31*$I33,0)</f>
        <v>53125</v>
      </c>
      <c r="L33" s="13">
        <f>ROUND(VLOOKUP($B33,'CTC Breakup'!$B$2:$O$51,8,0)/31*$I33,0)</f>
        <v>21250</v>
      </c>
      <c r="M33" s="13">
        <f>ROUND(VLOOKUP($B33,'CTC Breakup'!$B$2:$O$51,9,0)/31*$I33,0)</f>
        <v>22500</v>
      </c>
      <c r="N33" s="13">
        <f>ROUND(VLOOKUP($B33,'CTC Breakup'!$B$2:$O$51,10,0)/31*$I33,0)</f>
        <v>2000</v>
      </c>
      <c r="O33" s="13">
        <f>ROUND(VLOOKUP($B33,'CTC Breakup'!$B$2:$O$51,11,0)/31*$I33,0)</f>
        <v>1000</v>
      </c>
      <c r="P33" s="13">
        <f>ROUND(((VLOOKUP($B33,'CTC Breakup'!$B$2:$N$51,13,0)-VLOOKUP($B33,'CTC Breakup'!$B$2:$N$51,12,0))/22/9)*$J33,0)</f>
        <v>10088</v>
      </c>
      <c r="Q33" s="13">
        <v>0</v>
      </c>
      <c r="R33" s="13">
        <f t="shared" si="1"/>
        <v>109963</v>
      </c>
      <c r="S33" s="13">
        <f t="shared" si="2"/>
        <v>6375</v>
      </c>
      <c r="T33" s="13">
        <f t="shared" si="3"/>
        <v>32989</v>
      </c>
      <c r="U33" s="13">
        <v>0</v>
      </c>
      <c r="V33" s="13">
        <f t="shared" si="4"/>
        <v>70599</v>
      </c>
    </row>
    <row r="34" spans="1:22" x14ac:dyDescent="0.25">
      <c r="A34" s="1">
        <v>46023</v>
      </c>
      <c r="B34" t="s">
        <v>82</v>
      </c>
      <c r="C34" s="1">
        <v>45908</v>
      </c>
      <c r="D34" s="1">
        <v>46077</v>
      </c>
      <c r="E34" s="1" t="s">
        <v>371</v>
      </c>
      <c r="F34" s="1" t="s">
        <v>363</v>
      </c>
      <c r="G34" s="1" t="str">
        <f>VLOOKUP(tblPayroll[[#This Row],[Employee Id]],Table1[[Employee Id]:[Work Location]],13,0)</f>
        <v>Mumbai</v>
      </c>
      <c r="H34">
        <v>0</v>
      </c>
      <c r="I34">
        <f t="shared" si="0"/>
        <v>31</v>
      </c>
      <c r="J34">
        <v>0</v>
      </c>
      <c r="K34" s="13">
        <f>ROUND(VLOOKUP($B34,'CTC Breakup'!$B$2:$O$51,7,0)/31*$I34,0)</f>
        <v>19792</v>
      </c>
      <c r="L34" s="13">
        <f>ROUND(VLOOKUP($B34,'CTC Breakup'!$B$2:$O$51,8,0)/31*$I34,0)</f>
        <v>7917</v>
      </c>
      <c r="M34" s="13">
        <f>ROUND(VLOOKUP($B34,'CTC Breakup'!$B$2:$O$51,9,0)/31*$I34,0)</f>
        <v>9499</v>
      </c>
      <c r="N34" s="13">
        <f>ROUND(VLOOKUP($B34,'CTC Breakup'!$B$2:$O$51,10,0)/31*$I34,0)</f>
        <v>0</v>
      </c>
      <c r="O34" s="13">
        <f>ROUND(VLOOKUP($B34,'CTC Breakup'!$B$2:$O$51,11,0)/31*$I34,0)</f>
        <v>0</v>
      </c>
      <c r="P34" s="13">
        <f>ROUND(((VLOOKUP($B34,'CTC Breakup'!$B$2:$N$51,13,0)-VLOOKUP($B34,'CTC Breakup'!$B$2:$N$51,12,0))/22/9)*$J34,0)</f>
        <v>0</v>
      </c>
      <c r="Q34" s="13">
        <v>0</v>
      </c>
      <c r="R34" s="13">
        <f t="shared" si="1"/>
        <v>37208</v>
      </c>
      <c r="S34" s="13">
        <f t="shared" si="2"/>
        <v>2375</v>
      </c>
      <c r="T34" s="13">
        <f t="shared" si="3"/>
        <v>0</v>
      </c>
      <c r="U34" s="13">
        <v>0</v>
      </c>
      <c r="V34" s="13">
        <f t="shared" si="4"/>
        <v>34833</v>
      </c>
    </row>
    <row r="35" spans="1:22" x14ac:dyDescent="0.25">
      <c r="A35" s="1">
        <v>46023</v>
      </c>
      <c r="B35" t="s">
        <v>83</v>
      </c>
      <c r="C35" s="1">
        <v>45978</v>
      </c>
      <c r="D35" s="1"/>
      <c r="E35" s="1" t="s">
        <v>365</v>
      </c>
      <c r="F35" s="1" t="s">
        <v>354</v>
      </c>
      <c r="G35" s="1" t="str">
        <f>VLOOKUP(tblPayroll[[#This Row],[Employee Id]],Table1[[Employee Id]:[Work Location]],13,0)</f>
        <v>Chennai</v>
      </c>
      <c r="H35">
        <v>0</v>
      </c>
      <c r="I35">
        <f t="shared" si="0"/>
        <v>31</v>
      </c>
      <c r="J35">
        <v>18</v>
      </c>
      <c r="K35" s="13">
        <f>ROUND(VLOOKUP($B35,'CTC Breakup'!$B$2:$O$51,7,0)/31*$I35,0)</f>
        <v>49167</v>
      </c>
      <c r="L35" s="13">
        <f>ROUND(VLOOKUP($B35,'CTC Breakup'!$B$2:$O$51,8,0)/31*$I35,0)</f>
        <v>19667</v>
      </c>
      <c r="M35" s="13">
        <f>ROUND(VLOOKUP($B35,'CTC Breakup'!$B$2:$O$51,9,0)/31*$I35,0)</f>
        <v>20599</v>
      </c>
      <c r="N35" s="13">
        <f>ROUND(VLOOKUP($B35,'CTC Breakup'!$B$2:$O$51,10,0)/31*$I35,0)</f>
        <v>2000</v>
      </c>
      <c r="O35" s="13">
        <f>ROUND(VLOOKUP($B35,'CTC Breakup'!$B$2:$O$51,11,0)/31*$I35,0)</f>
        <v>1000</v>
      </c>
      <c r="P35" s="13">
        <f>ROUND(((VLOOKUP($B35,'CTC Breakup'!$B$2:$N$51,13,0)-VLOOKUP($B35,'CTC Breakup'!$B$2:$N$51,12,0))/22/9)*$J35,0)</f>
        <v>8403</v>
      </c>
      <c r="Q35" s="13">
        <v>0</v>
      </c>
      <c r="R35" s="13">
        <f t="shared" si="1"/>
        <v>100836</v>
      </c>
      <c r="S35" s="13">
        <f t="shared" si="2"/>
        <v>5900</v>
      </c>
      <c r="T35" s="13">
        <f t="shared" si="3"/>
        <v>30251</v>
      </c>
      <c r="U35" s="13">
        <v>0</v>
      </c>
      <c r="V35" s="13">
        <f t="shared" si="4"/>
        <v>64685</v>
      </c>
    </row>
    <row r="36" spans="1:22" x14ac:dyDescent="0.25">
      <c r="A36" s="1">
        <v>46023</v>
      </c>
      <c r="B36" t="s">
        <v>85</v>
      </c>
      <c r="C36" s="1">
        <v>45992</v>
      </c>
      <c r="D36" s="1"/>
      <c r="E36" s="1" t="s">
        <v>381</v>
      </c>
      <c r="F36" s="1" t="s">
        <v>353</v>
      </c>
      <c r="G36" s="1" t="str">
        <f>VLOOKUP(tblPayroll[[#This Row],[Employee Id]],Table1[[Employee Id]:[Work Location]],13,0)</f>
        <v>Chennai</v>
      </c>
      <c r="H36">
        <v>0</v>
      </c>
      <c r="I36">
        <f t="shared" si="0"/>
        <v>31</v>
      </c>
      <c r="J36">
        <v>0</v>
      </c>
      <c r="K36" s="13">
        <f>ROUND(VLOOKUP($B36,'CTC Breakup'!$B$2:$O$51,7,0)/31*$I36,0)</f>
        <v>18750</v>
      </c>
      <c r="L36" s="13">
        <f>ROUND(VLOOKUP($B36,'CTC Breakup'!$B$2:$O$51,8,0)/31*$I36,0)</f>
        <v>7500</v>
      </c>
      <c r="M36" s="13">
        <f>ROUND(VLOOKUP($B36,'CTC Breakup'!$B$2:$O$51,9,0)/31*$I36,0)</f>
        <v>9000</v>
      </c>
      <c r="N36" s="13">
        <f>ROUND(VLOOKUP($B36,'CTC Breakup'!$B$2:$O$51,10,0)/31*$I36,0)</f>
        <v>0</v>
      </c>
      <c r="O36" s="13">
        <f>ROUND(VLOOKUP($B36,'CTC Breakup'!$B$2:$O$51,11,0)/31*$I36,0)</f>
        <v>0</v>
      </c>
      <c r="P36" s="13">
        <f>ROUND(((VLOOKUP($B36,'CTC Breakup'!$B$2:$N$51,13,0)-VLOOKUP($B36,'CTC Breakup'!$B$2:$N$51,12,0))/22/9)*$J36,0)</f>
        <v>0</v>
      </c>
      <c r="Q36" s="13">
        <v>8360</v>
      </c>
      <c r="R36" s="13">
        <f t="shared" si="1"/>
        <v>43610</v>
      </c>
      <c r="S36" s="13">
        <f t="shared" si="2"/>
        <v>2250</v>
      </c>
      <c r="T36" s="13">
        <f t="shared" si="3"/>
        <v>0</v>
      </c>
      <c r="U36" s="13">
        <v>0</v>
      </c>
      <c r="V36" s="13">
        <f t="shared" si="4"/>
        <v>41360</v>
      </c>
    </row>
    <row r="37" spans="1:22" x14ac:dyDescent="0.25">
      <c r="A37" s="1">
        <v>46023</v>
      </c>
      <c r="B37" t="s">
        <v>86</v>
      </c>
      <c r="C37" s="1">
        <v>46027</v>
      </c>
      <c r="D37" s="1"/>
      <c r="E37" s="1" t="s">
        <v>368</v>
      </c>
      <c r="F37" s="1" t="s">
        <v>398</v>
      </c>
      <c r="G37" s="1" t="str">
        <f>VLOOKUP(tblPayroll[[#This Row],[Employee Id]],Table1[[Employee Id]:[Work Location]],13,0)</f>
        <v>Bangalore</v>
      </c>
      <c r="H37">
        <v>0</v>
      </c>
      <c r="I37">
        <f t="shared" si="0"/>
        <v>31</v>
      </c>
      <c r="J37">
        <v>0</v>
      </c>
      <c r="K37" s="13">
        <f>ROUND(VLOOKUP($B37,'CTC Breakup'!$B$2:$O$51,7,0)/31*$I37,0)</f>
        <v>23959</v>
      </c>
      <c r="L37" s="13">
        <f>ROUND(VLOOKUP($B37,'CTC Breakup'!$B$2:$O$51,8,0)/31*$I37,0)</f>
        <v>9584</v>
      </c>
      <c r="M37" s="13">
        <f>ROUND(VLOOKUP($B37,'CTC Breakup'!$B$2:$O$51,9,0)/31*$I37,0)</f>
        <v>11499</v>
      </c>
      <c r="N37" s="13">
        <f>ROUND(VLOOKUP($B37,'CTC Breakup'!$B$2:$O$51,10,0)/31*$I37,0)</f>
        <v>0</v>
      </c>
      <c r="O37" s="13">
        <f>ROUND(VLOOKUP($B37,'CTC Breakup'!$B$2:$O$51,11,0)/31*$I37,0)</f>
        <v>0</v>
      </c>
      <c r="P37" s="13">
        <f>ROUND(((VLOOKUP($B37,'CTC Breakup'!$B$2:$N$51,13,0)-VLOOKUP($B37,'CTC Breakup'!$B$2:$N$51,12,0))/22/9)*$J37,0)</f>
        <v>0</v>
      </c>
      <c r="Q37" s="13">
        <v>0</v>
      </c>
      <c r="R37" s="13">
        <f t="shared" si="1"/>
        <v>45042</v>
      </c>
      <c r="S37" s="13">
        <f t="shared" si="2"/>
        <v>2875</v>
      </c>
      <c r="T37" s="13">
        <f t="shared" si="3"/>
        <v>0</v>
      </c>
      <c r="U37" s="13">
        <v>0</v>
      </c>
      <c r="V37" s="13">
        <f t="shared" si="4"/>
        <v>42167</v>
      </c>
    </row>
    <row r="38" spans="1:22" x14ac:dyDescent="0.25">
      <c r="A38" s="1">
        <v>46023</v>
      </c>
      <c r="B38" t="s">
        <v>87</v>
      </c>
      <c r="C38" s="1">
        <v>46041</v>
      </c>
      <c r="D38" s="1"/>
      <c r="E38" s="1" t="s">
        <v>365</v>
      </c>
      <c r="F38" s="1" t="s">
        <v>354</v>
      </c>
      <c r="G38" s="1" t="str">
        <f>VLOOKUP(tblPayroll[[#This Row],[Employee Id]],Table1[[Employee Id]:[Work Location]],13,0)</f>
        <v>Kolkata</v>
      </c>
      <c r="H38">
        <v>6</v>
      </c>
      <c r="I38">
        <f t="shared" si="0"/>
        <v>25</v>
      </c>
      <c r="J38">
        <v>0</v>
      </c>
      <c r="K38" s="13">
        <f>ROUND(VLOOKUP($B38,'CTC Breakup'!$B$2:$O$51,7,0)/31*$I38,0)</f>
        <v>38643</v>
      </c>
      <c r="L38" s="13">
        <f>ROUND(VLOOKUP($B38,'CTC Breakup'!$B$2:$O$51,8,0)/31*$I38,0)</f>
        <v>15457</v>
      </c>
      <c r="M38" s="13">
        <f>ROUND(VLOOKUP($B38,'CTC Breakup'!$B$2:$O$51,9,0)/31*$I38,0)</f>
        <v>16128</v>
      </c>
      <c r="N38" s="13">
        <f>ROUND(VLOOKUP($B38,'CTC Breakup'!$B$2:$O$51,10,0)/31*$I38,0)</f>
        <v>1613</v>
      </c>
      <c r="O38" s="13">
        <f>ROUND(VLOOKUP($B38,'CTC Breakup'!$B$2:$O$51,11,0)/31*$I38,0)</f>
        <v>806</v>
      </c>
      <c r="P38" s="13">
        <f>ROUND(((VLOOKUP($B38,'CTC Breakup'!$B$2:$N$51,13,0)-VLOOKUP($B38,'CTC Breakup'!$B$2:$N$51,12,0))/22/9)*$J38,0)</f>
        <v>0</v>
      </c>
      <c r="Q38" s="13">
        <v>0</v>
      </c>
      <c r="R38" s="13">
        <f t="shared" si="1"/>
        <v>72647</v>
      </c>
      <c r="S38" s="13">
        <f t="shared" si="2"/>
        <v>4637</v>
      </c>
      <c r="T38" s="13">
        <f>ROUND(IF(R38&gt;100000,R38*30%,IF(R38&gt;75000,R38*20%,IF(R38&gt;50000,R38*10%,0))),0)</f>
        <v>7265</v>
      </c>
      <c r="U38" s="13">
        <v>11500</v>
      </c>
      <c r="V38" s="13">
        <f t="shared" si="4"/>
        <v>49245</v>
      </c>
    </row>
    <row r="39" spans="1:22" x14ac:dyDescent="0.25">
      <c r="A39" s="1">
        <v>46054</v>
      </c>
      <c r="B39" t="s">
        <v>18</v>
      </c>
      <c r="C39" s="1">
        <v>44593</v>
      </c>
      <c r="D39" s="1"/>
      <c r="E39" s="1" t="s">
        <v>356</v>
      </c>
      <c r="F39" s="1" t="s">
        <v>398</v>
      </c>
      <c r="G39" s="1" t="str">
        <f>VLOOKUP(tblPayroll[[#This Row],[Employee Id]],Table1[[Employee Id]:[Work Location]],13,0)</f>
        <v>Bangalore</v>
      </c>
      <c r="H39">
        <v>0</v>
      </c>
      <c r="I39">
        <f>28-H39</f>
        <v>28</v>
      </c>
      <c r="J39">
        <v>21</v>
      </c>
      <c r="K39" s="13">
        <f>ROUND(VLOOKUP($B39,'CTC Breakup'!$B$2:$O$51,7,0)/28*$I39,0)</f>
        <v>77084</v>
      </c>
      <c r="L39" s="13">
        <f>ROUND(VLOOKUP($B39,'CTC Breakup'!$B$2:$O$51,8,0)/28*$I39,0)</f>
        <v>30834</v>
      </c>
      <c r="M39" s="13">
        <f>ROUND(VLOOKUP($B39,'CTC Breakup'!$B$2:$O$51,9,0)/28*$I39,0)</f>
        <v>33999</v>
      </c>
      <c r="N39" s="13">
        <f>ROUND(VLOOKUP($B39,'CTC Breakup'!$B$2:$O$51,10,0)/28*$I39,0)</f>
        <v>2000</v>
      </c>
      <c r="O39" s="13">
        <f>ROUND(VLOOKUP($B39,'CTC Breakup'!$B$2:$O$51,11,0)/28*$I39,0)</f>
        <v>1000</v>
      </c>
      <c r="P39" s="13">
        <f>ROUND(((VLOOKUP($B39,'CTC Breakup'!$B$2:$N$51,13,0)-VLOOKUP($B39,'CTC Breakup'!$B$2:$N$51,12,0))/22/9)*$J39,0)</f>
        <v>15370</v>
      </c>
      <c r="Q39" s="13">
        <v>0</v>
      </c>
      <c r="R39" s="13">
        <f t="shared" ref="R39" si="9">SUM(K39:Q39)</f>
        <v>160287</v>
      </c>
      <c r="S39" s="13">
        <f t="shared" ref="S39" si="10">ROUND(K39*12%,0)</f>
        <v>9250</v>
      </c>
      <c r="T39" s="13">
        <f>ROUND(IF(R39&gt;100000,R39*30%,IF(R39&gt;75000,R39*20%,IF(R39&gt;50000,R39*10%,0))),0)</f>
        <v>48086</v>
      </c>
      <c r="U39" s="13">
        <v>11500</v>
      </c>
      <c r="V39" s="13">
        <f t="shared" ref="V39:V102" si="11">R39-S39-T39-U39</f>
        <v>91451</v>
      </c>
    </row>
    <row r="40" spans="1:22" x14ac:dyDescent="0.25">
      <c r="A40" s="1">
        <v>46054</v>
      </c>
      <c r="B40" t="s">
        <v>24</v>
      </c>
      <c r="C40" s="1">
        <v>44613</v>
      </c>
      <c r="D40" s="1"/>
      <c r="E40" s="1" t="s">
        <v>355</v>
      </c>
      <c r="F40" s="1" t="s">
        <v>354</v>
      </c>
      <c r="G40" s="1" t="str">
        <f>VLOOKUP(tblPayroll[[#This Row],[Employee Id]],Table1[[Employee Id]:[Work Location]],13,0)</f>
        <v>Chennai</v>
      </c>
      <c r="H40">
        <v>0</v>
      </c>
      <c r="I40">
        <f t="shared" ref="I40:I77" si="12">28-H40</f>
        <v>28</v>
      </c>
      <c r="J40">
        <v>0</v>
      </c>
      <c r="K40" s="13">
        <f>ROUND(VLOOKUP($B40,'CTC Breakup'!$B$2:$O$51,7,0)/28*$I40,0)</f>
        <v>104167</v>
      </c>
      <c r="L40" s="13">
        <f>ROUND(VLOOKUP($B40,'CTC Breakup'!$B$2:$O$51,8,0)/28*$I40,0)</f>
        <v>41667</v>
      </c>
      <c r="M40" s="13">
        <f>ROUND(VLOOKUP($B40,'CTC Breakup'!$B$2:$O$51,9,0)/28*$I40,0)</f>
        <v>49999</v>
      </c>
      <c r="N40" s="13">
        <f>ROUND(VLOOKUP($B40,'CTC Breakup'!$B$2:$O$51,10,0)/28*$I40,0)</f>
        <v>0</v>
      </c>
      <c r="O40" s="13">
        <f>ROUND(VLOOKUP($B40,'CTC Breakup'!$B$2:$O$51,11,0)/28*$I40,0)</f>
        <v>0</v>
      </c>
      <c r="P40" s="13">
        <f>ROUND(((VLOOKUP($B40,'CTC Breakup'!$B$2:$N$51,13,0)-VLOOKUP($B40,'CTC Breakup'!$B$2:$N$51,12,0))/22/9)*$J40,0)</f>
        <v>0</v>
      </c>
      <c r="Q40" s="13">
        <v>0</v>
      </c>
      <c r="R40" s="13">
        <f t="shared" ref="R40:R77" si="13">SUM(K40:Q40)</f>
        <v>195833</v>
      </c>
      <c r="S40" s="13">
        <f t="shared" ref="S40:S77" si="14">ROUND(K40*12%,0)</f>
        <v>12500</v>
      </c>
      <c r="T40" s="13">
        <f t="shared" ref="T40:T77" si="15">ROUND(IF(R40&gt;100000,R40*30%,IF(R40&gt;75000,R40*20%,IF(R40&gt;50000,R40*10%,0))),0)</f>
        <v>58750</v>
      </c>
      <c r="U40" s="13">
        <v>0</v>
      </c>
      <c r="V40" s="13">
        <f t="shared" si="11"/>
        <v>124583</v>
      </c>
    </row>
    <row r="41" spans="1:22" x14ac:dyDescent="0.25">
      <c r="A41" s="1">
        <v>46054</v>
      </c>
      <c r="B41" t="s">
        <v>28</v>
      </c>
      <c r="C41" s="1">
        <v>44634</v>
      </c>
      <c r="D41" s="1"/>
      <c r="E41" s="1" t="s">
        <v>356</v>
      </c>
      <c r="F41" s="1" t="s">
        <v>398</v>
      </c>
      <c r="G41" s="1" t="str">
        <f>VLOOKUP(tblPayroll[[#This Row],[Employee Id]],Table1[[Employee Id]:[Work Location]],13,0)</f>
        <v>Bangalore</v>
      </c>
      <c r="H41">
        <v>7</v>
      </c>
      <c r="I41">
        <f t="shared" si="12"/>
        <v>21</v>
      </c>
      <c r="J41">
        <v>0</v>
      </c>
      <c r="K41" s="13">
        <f>ROUND(VLOOKUP($B41,'CTC Breakup'!$B$2:$O$51,7,0)/28*$I41,0)</f>
        <v>54688</v>
      </c>
      <c r="L41" s="13">
        <f>ROUND(VLOOKUP($B41,'CTC Breakup'!$B$2:$O$51,8,0)/28*$I41,0)</f>
        <v>21875</v>
      </c>
      <c r="M41" s="13">
        <f>ROUND(VLOOKUP($B41,'CTC Breakup'!$B$2:$O$51,9,0)/28*$I41,0)</f>
        <v>23999</v>
      </c>
      <c r="N41" s="13">
        <f>ROUND(VLOOKUP($B41,'CTC Breakup'!$B$2:$O$51,10,0)/28*$I41,0)</f>
        <v>1500</v>
      </c>
      <c r="O41" s="13">
        <f>ROUND(VLOOKUP($B41,'CTC Breakup'!$B$2:$O$51,11,0)/28*$I41,0)</f>
        <v>750</v>
      </c>
      <c r="P41" s="13">
        <f>ROUND(((VLOOKUP($B41,'CTC Breakup'!$B$2:$N$51,13,0)-VLOOKUP($B41,'CTC Breakup'!$B$2:$N$51,12,0))/22/9)*$J41,0)</f>
        <v>0</v>
      </c>
      <c r="Q41" s="13">
        <f>ROUND((VLOOKUP($B41,'CTC Breakup'!$B$2:$N$51,13,0)-VLOOKUP($B41,'CTC Breakup'!$B$2:$N$51,12,0))/(22*9)*$J41*2,0)</f>
        <v>0</v>
      </c>
      <c r="R41" s="13">
        <f t="shared" si="13"/>
        <v>102812</v>
      </c>
      <c r="S41" s="13">
        <f t="shared" si="14"/>
        <v>6563</v>
      </c>
      <c r="T41" s="13">
        <f t="shared" si="15"/>
        <v>30844</v>
      </c>
      <c r="U41" s="13">
        <v>0</v>
      </c>
      <c r="V41" s="13">
        <f t="shared" si="11"/>
        <v>65405</v>
      </c>
    </row>
    <row r="42" spans="1:22" x14ac:dyDescent="0.25">
      <c r="A42" s="1">
        <v>46054</v>
      </c>
      <c r="B42" t="s">
        <v>34</v>
      </c>
      <c r="C42" s="1">
        <v>44697</v>
      </c>
      <c r="D42" s="1"/>
      <c r="E42" s="1" t="s">
        <v>360</v>
      </c>
      <c r="F42" s="1" t="s">
        <v>363</v>
      </c>
      <c r="G42" s="1" t="str">
        <f>VLOOKUP(tblPayroll[[#This Row],[Employee Id]],Table1[[Employee Id]:[Work Location]],13,0)</f>
        <v>Chennai</v>
      </c>
      <c r="H42">
        <v>11</v>
      </c>
      <c r="I42">
        <f t="shared" si="12"/>
        <v>17</v>
      </c>
      <c r="J42">
        <v>0</v>
      </c>
      <c r="K42" s="13">
        <f>ROUND(VLOOKUP($B42,'CTC Breakup'!$B$2:$O$51,7,0)/28*$I42,0)</f>
        <v>43006</v>
      </c>
      <c r="L42" s="13">
        <f>ROUND(VLOOKUP($B42,'CTC Breakup'!$B$2:$O$51,8,0)/28*$I42,0)</f>
        <v>17203</v>
      </c>
      <c r="M42" s="13">
        <f>ROUND(VLOOKUP($B42,'CTC Breakup'!$B$2:$O$51,9,0)/28*$I42,0)</f>
        <v>18821</v>
      </c>
      <c r="N42" s="13">
        <f>ROUND(VLOOKUP($B42,'CTC Breakup'!$B$2:$O$51,10,0)/28*$I42,0)</f>
        <v>1214</v>
      </c>
      <c r="O42" s="13">
        <f>ROUND(VLOOKUP($B42,'CTC Breakup'!$B$2:$O$51,11,0)/28*$I42,0)</f>
        <v>607</v>
      </c>
      <c r="P42" s="13">
        <f>ROUND(((VLOOKUP($B42,'CTC Breakup'!$B$2:$N$51,13,0)-VLOOKUP($B42,'CTC Breakup'!$B$2:$N$51,12,0))/22/9)*$J42,0)</f>
        <v>0</v>
      </c>
      <c r="Q42" s="13">
        <v>0</v>
      </c>
      <c r="R42" s="13">
        <f t="shared" si="13"/>
        <v>80851</v>
      </c>
      <c r="S42" s="13">
        <f t="shared" si="14"/>
        <v>5161</v>
      </c>
      <c r="T42" s="13">
        <f t="shared" si="15"/>
        <v>16170</v>
      </c>
      <c r="U42" s="13">
        <v>0</v>
      </c>
      <c r="V42" s="13">
        <f t="shared" si="11"/>
        <v>59520</v>
      </c>
    </row>
    <row r="43" spans="1:22" x14ac:dyDescent="0.25">
      <c r="A43" s="1">
        <v>46054</v>
      </c>
      <c r="B43" t="s">
        <v>35</v>
      </c>
      <c r="C43" s="1">
        <v>44704</v>
      </c>
      <c r="D43" s="1"/>
      <c r="E43" s="1" t="s">
        <v>369</v>
      </c>
      <c r="F43" s="1" t="s">
        <v>363</v>
      </c>
      <c r="G43" s="1" t="str">
        <f>VLOOKUP(tblPayroll[[#This Row],[Employee Id]],Table1[[Employee Id]:[Work Location]],13,0)</f>
        <v>Mumbai</v>
      </c>
      <c r="H43">
        <v>0</v>
      </c>
      <c r="I43">
        <f t="shared" si="12"/>
        <v>28</v>
      </c>
      <c r="J43">
        <v>25</v>
      </c>
      <c r="K43" s="13">
        <f>ROUND(VLOOKUP($B43,'CTC Breakup'!$B$2:$O$51,7,0)/28*$I43,0)</f>
        <v>41667</v>
      </c>
      <c r="L43" s="13">
        <f>ROUND(VLOOKUP($B43,'CTC Breakup'!$B$2:$O$51,8,0)/28*$I43,0)</f>
        <v>16667</v>
      </c>
      <c r="M43" s="13">
        <f>ROUND(VLOOKUP($B43,'CTC Breakup'!$B$2:$O$51,9,0)/28*$I43,0)</f>
        <v>16999</v>
      </c>
      <c r="N43" s="13">
        <f>ROUND(VLOOKUP($B43,'CTC Breakup'!$B$2:$O$51,10,0)/28*$I43,0)</f>
        <v>2000</v>
      </c>
      <c r="O43" s="13">
        <f>ROUND(VLOOKUP($B43,'CTC Breakup'!$B$2:$O$51,11,0)/28*$I43,0)</f>
        <v>1000</v>
      </c>
      <c r="P43" s="13">
        <f>ROUND(((VLOOKUP($B43,'CTC Breakup'!$B$2:$N$51,13,0)-VLOOKUP($B43,'CTC Breakup'!$B$2:$N$51,12,0))/22/9)*$J43,0)</f>
        <v>9891</v>
      </c>
      <c r="Q43" s="13">
        <v>0</v>
      </c>
      <c r="R43" s="13">
        <f t="shared" si="13"/>
        <v>88224</v>
      </c>
      <c r="S43" s="13">
        <f t="shared" si="14"/>
        <v>5000</v>
      </c>
      <c r="T43" s="13">
        <f t="shared" si="15"/>
        <v>17645</v>
      </c>
      <c r="U43" s="13">
        <v>10800</v>
      </c>
      <c r="V43" s="13">
        <f t="shared" si="11"/>
        <v>54779</v>
      </c>
    </row>
    <row r="44" spans="1:22" x14ac:dyDescent="0.25">
      <c r="A44" s="1">
        <v>46054</v>
      </c>
      <c r="B44" t="s">
        <v>37</v>
      </c>
      <c r="C44" s="1">
        <v>44886</v>
      </c>
      <c r="D44" s="1"/>
      <c r="E44" s="1" t="s">
        <v>361</v>
      </c>
      <c r="F44" s="1" t="s">
        <v>353</v>
      </c>
      <c r="G44" s="1" t="str">
        <f>VLOOKUP(tblPayroll[[#This Row],[Employee Id]],Table1[[Employee Id]:[Work Location]],13,0)</f>
        <v>Kolkata</v>
      </c>
      <c r="H44">
        <v>0</v>
      </c>
      <c r="I44">
        <f t="shared" si="12"/>
        <v>28</v>
      </c>
      <c r="J44">
        <v>0</v>
      </c>
      <c r="K44" s="13">
        <f>ROUND(VLOOKUP($B44,'CTC Breakup'!$B$2:$O$51,7,0)/28*$I44,0)</f>
        <v>87500</v>
      </c>
      <c r="L44" s="13">
        <f>ROUND(VLOOKUP($B44,'CTC Breakup'!$B$2:$O$51,8,0)/28*$I44,0)</f>
        <v>35000</v>
      </c>
      <c r="M44" s="13">
        <f>ROUND(VLOOKUP($B44,'CTC Breakup'!$B$2:$O$51,9,0)/28*$I44,0)</f>
        <v>39000</v>
      </c>
      <c r="N44" s="13">
        <f>ROUND(VLOOKUP($B44,'CTC Breakup'!$B$2:$O$51,10,0)/28*$I44,0)</f>
        <v>2000</v>
      </c>
      <c r="O44" s="13">
        <f>ROUND(VLOOKUP($B44,'CTC Breakup'!$B$2:$O$51,11,0)/28*$I44,0)</f>
        <v>1000</v>
      </c>
      <c r="P44" s="13">
        <f>ROUND(((VLOOKUP($B44,'CTC Breakup'!$B$2:$N$51,13,0)-VLOOKUP($B44,'CTC Breakup'!$B$2:$N$51,12,0))/22/9)*$J44,0)</f>
        <v>0</v>
      </c>
      <c r="Q44" s="13">
        <v>27800</v>
      </c>
      <c r="R44" s="13">
        <f t="shared" si="13"/>
        <v>192300</v>
      </c>
      <c r="S44" s="13">
        <f t="shared" si="14"/>
        <v>10500</v>
      </c>
      <c r="T44" s="13">
        <f t="shared" si="15"/>
        <v>57690</v>
      </c>
      <c r="U44" s="13">
        <v>0</v>
      </c>
      <c r="V44" s="13">
        <f t="shared" si="11"/>
        <v>124110</v>
      </c>
    </row>
    <row r="45" spans="1:22" x14ac:dyDescent="0.25">
      <c r="A45" s="1">
        <v>46054</v>
      </c>
      <c r="B45" t="s">
        <v>38</v>
      </c>
      <c r="C45" s="1">
        <v>44893</v>
      </c>
      <c r="D45" s="1"/>
      <c r="E45" s="1" t="s">
        <v>373</v>
      </c>
      <c r="F45" s="1" t="s">
        <v>353</v>
      </c>
      <c r="G45" s="1" t="str">
        <f>VLOOKUP(tblPayroll[[#This Row],[Employee Id]],Table1[[Employee Id]:[Work Location]],13,0)</f>
        <v>Hyderabad</v>
      </c>
      <c r="H45">
        <v>0</v>
      </c>
      <c r="I45">
        <f t="shared" si="12"/>
        <v>28</v>
      </c>
      <c r="J45">
        <v>0</v>
      </c>
      <c r="K45" s="13">
        <f>ROUND(VLOOKUP($B45,'CTC Breakup'!$B$2:$O$51,7,0)/28*$I45,0)</f>
        <v>75000</v>
      </c>
      <c r="L45" s="13">
        <f>ROUND(VLOOKUP($B45,'CTC Breakup'!$B$2:$O$51,8,0)/28*$I45,0)</f>
        <v>30000</v>
      </c>
      <c r="M45" s="13">
        <f>ROUND(VLOOKUP($B45,'CTC Breakup'!$B$2:$O$51,9,0)/28*$I45,0)</f>
        <v>33000</v>
      </c>
      <c r="N45" s="13">
        <f>ROUND(VLOOKUP($B45,'CTC Breakup'!$B$2:$O$51,10,0)/28*$I45,0)</f>
        <v>2000</v>
      </c>
      <c r="O45" s="13">
        <f>ROUND(VLOOKUP($B45,'CTC Breakup'!$B$2:$O$51,11,0)/28*$I45,0)</f>
        <v>1000</v>
      </c>
      <c r="P45" s="13">
        <f>ROUND(((VLOOKUP($B45,'CTC Breakup'!$B$2:$N$51,13,0)-VLOOKUP($B45,'CTC Breakup'!$B$2:$N$51,12,0))/22/9)*$J45,0)</f>
        <v>0</v>
      </c>
      <c r="Q45" s="13">
        <v>22880</v>
      </c>
      <c r="R45" s="13">
        <f t="shared" si="13"/>
        <v>163880</v>
      </c>
      <c r="S45" s="13">
        <f t="shared" si="14"/>
        <v>9000</v>
      </c>
      <c r="T45" s="13">
        <f t="shared" si="15"/>
        <v>49164</v>
      </c>
      <c r="U45" s="13">
        <v>0</v>
      </c>
      <c r="V45" s="13">
        <f t="shared" si="11"/>
        <v>105716</v>
      </c>
    </row>
    <row r="46" spans="1:22" x14ac:dyDescent="0.25">
      <c r="A46" s="1">
        <v>46054</v>
      </c>
      <c r="B46" t="s">
        <v>40</v>
      </c>
      <c r="C46" s="1">
        <v>44907</v>
      </c>
      <c r="D46" s="1"/>
      <c r="E46" s="1" t="s">
        <v>358</v>
      </c>
      <c r="F46" s="1" t="s">
        <v>397</v>
      </c>
      <c r="G46" s="1" t="str">
        <f>VLOOKUP(tblPayroll[[#This Row],[Employee Id]],Table1[[Employee Id]:[Work Location]],13,0)</f>
        <v>Mumbai</v>
      </c>
      <c r="H46">
        <v>0</v>
      </c>
      <c r="I46">
        <f t="shared" si="12"/>
        <v>28</v>
      </c>
      <c r="J46">
        <v>0</v>
      </c>
      <c r="K46" s="13">
        <f>ROUND(VLOOKUP($B46,'CTC Breakup'!$B$2:$O$51,7,0)/28*$I46,0)</f>
        <v>72917</v>
      </c>
      <c r="L46" s="13">
        <f>ROUND(VLOOKUP($B46,'CTC Breakup'!$B$2:$O$51,8,0)/28*$I46,0)</f>
        <v>29167</v>
      </c>
      <c r="M46" s="13">
        <f>ROUND(VLOOKUP($B46,'CTC Breakup'!$B$2:$O$51,9,0)/28*$I46,0)</f>
        <v>31999</v>
      </c>
      <c r="N46" s="13">
        <f>ROUND(VLOOKUP($B46,'CTC Breakup'!$B$2:$O$51,10,0)/28*$I46,0)</f>
        <v>2000</v>
      </c>
      <c r="O46" s="13">
        <f>ROUND(VLOOKUP($B46,'CTC Breakup'!$B$2:$O$51,11,0)/28*$I46,0)</f>
        <v>1000</v>
      </c>
      <c r="P46" s="13">
        <f>ROUND(((VLOOKUP($B46,'CTC Breakup'!$B$2:$N$51,13,0)-VLOOKUP($B46,'CTC Breakup'!$B$2:$N$51,12,0))/22/9)*$J46,0)</f>
        <v>0</v>
      </c>
      <c r="Q46" s="13">
        <v>0</v>
      </c>
      <c r="R46" s="13">
        <f t="shared" si="13"/>
        <v>137083</v>
      </c>
      <c r="S46" s="13">
        <f t="shared" si="14"/>
        <v>8750</v>
      </c>
      <c r="T46" s="13">
        <f t="shared" si="15"/>
        <v>41125</v>
      </c>
      <c r="U46" s="13">
        <v>0</v>
      </c>
      <c r="V46" s="13">
        <f t="shared" si="11"/>
        <v>87208</v>
      </c>
    </row>
    <row r="47" spans="1:22" x14ac:dyDescent="0.25">
      <c r="A47" s="1">
        <v>46054</v>
      </c>
      <c r="B47" t="s">
        <v>43</v>
      </c>
      <c r="C47" s="1">
        <v>44956</v>
      </c>
      <c r="D47" s="1"/>
      <c r="E47" s="1" t="s">
        <v>382</v>
      </c>
      <c r="F47" s="1" t="s">
        <v>353</v>
      </c>
      <c r="G47" s="1" t="str">
        <f>VLOOKUP(tblPayroll[[#This Row],[Employee Id]],Table1[[Employee Id]:[Work Location]],13,0)</f>
        <v>Chennai</v>
      </c>
      <c r="H47">
        <v>5</v>
      </c>
      <c r="I47">
        <f t="shared" si="12"/>
        <v>23</v>
      </c>
      <c r="J47">
        <v>20</v>
      </c>
      <c r="K47" s="13">
        <f>ROUND(VLOOKUP($B47,'CTC Breakup'!$B$2:$O$51,7,0)/28*$I47,0)</f>
        <v>39360</v>
      </c>
      <c r="L47" s="13">
        <f>ROUND(VLOOKUP($B47,'CTC Breakup'!$B$2:$O$51,8,0)/28*$I47,0)</f>
        <v>15744</v>
      </c>
      <c r="M47" s="13">
        <f>ROUND(VLOOKUP($B47,'CTC Breakup'!$B$2:$O$51,9,0)/28*$I47,0)</f>
        <v>16428</v>
      </c>
      <c r="N47" s="13">
        <f>ROUND(VLOOKUP($B47,'CTC Breakup'!$B$2:$O$51,10,0)/28*$I47,0)</f>
        <v>1643</v>
      </c>
      <c r="O47" s="13">
        <f>ROUND(VLOOKUP($B47,'CTC Breakup'!$B$2:$O$51,11,0)/28*$I47,0)</f>
        <v>821</v>
      </c>
      <c r="P47" s="13">
        <f>ROUND(((VLOOKUP($B47,'CTC Breakup'!$B$2:$N$51,13,0)-VLOOKUP($B47,'CTC Breakup'!$B$2:$N$51,12,0))/22/9)*$J47,0)</f>
        <v>9099</v>
      </c>
      <c r="Q47" s="13">
        <v>18260</v>
      </c>
      <c r="R47" s="13">
        <f t="shared" si="13"/>
        <v>101355</v>
      </c>
      <c r="S47" s="13">
        <f t="shared" si="14"/>
        <v>4723</v>
      </c>
      <c r="T47" s="13">
        <f t="shared" si="15"/>
        <v>30407</v>
      </c>
      <c r="U47" s="13">
        <v>0</v>
      </c>
      <c r="V47" s="13">
        <f t="shared" si="11"/>
        <v>66225</v>
      </c>
    </row>
    <row r="48" spans="1:22" x14ac:dyDescent="0.25">
      <c r="A48" s="1">
        <v>46054</v>
      </c>
      <c r="B48" t="s">
        <v>45</v>
      </c>
      <c r="C48" s="1">
        <v>44963</v>
      </c>
      <c r="D48" s="1"/>
      <c r="E48" s="1" t="s">
        <v>357</v>
      </c>
      <c r="F48" s="1" t="s">
        <v>354</v>
      </c>
      <c r="G48" s="1" t="str">
        <f>VLOOKUP(tblPayroll[[#This Row],[Employee Id]],Table1[[Employee Id]:[Work Location]],13,0)</f>
        <v>Bangalore</v>
      </c>
      <c r="H48">
        <v>0</v>
      </c>
      <c r="I48">
        <f t="shared" si="12"/>
        <v>28</v>
      </c>
      <c r="J48">
        <v>0</v>
      </c>
      <c r="K48" s="13">
        <f>ROUND(VLOOKUP($B48,'CTC Breakup'!$B$2:$O$51,7,0)/28*$I48,0)</f>
        <v>64584</v>
      </c>
      <c r="L48" s="13">
        <f>ROUND(VLOOKUP($B48,'CTC Breakup'!$B$2:$O$51,8,0)/28*$I48,0)</f>
        <v>25834</v>
      </c>
      <c r="M48" s="13">
        <f>ROUND(VLOOKUP($B48,'CTC Breakup'!$B$2:$O$51,9,0)/28*$I48,0)</f>
        <v>27999</v>
      </c>
      <c r="N48" s="13">
        <f>ROUND(VLOOKUP($B48,'CTC Breakup'!$B$2:$O$51,10,0)/28*$I48,0)</f>
        <v>2000</v>
      </c>
      <c r="O48" s="13">
        <f>ROUND(VLOOKUP($B48,'CTC Breakup'!$B$2:$O$51,11,0)/28*$I48,0)</f>
        <v>1000</v>
      </c>
      <c r="P48" s="13">
        <f>ROUND(((VLOOKUP($B48,'CTC Breakup'!$B$2:$N$51,13,0)-VLOOKUP($B48,'CTC Breakup'!$B$2:$N$51,12,0))/22/9)*$J48,0)</f>
        <v>0</v>
      </c>
      <c r="Q48" s="13">
        <v>0</v>
      </c>
      <c r="R48" s="13">
        <f t="shared" si="13"/>
        <v>121417</v>
      </c>
      <c r="S48" s="13">
        <f t="shared" si="14"/>
        <v>7750</v>
      </c>
      <c r="T48" s="13">
        <f t="shared" si="15"/>
        <v>36425</v>
      </c>
      <c r="U48" s="13">
        <v>0</v>
      </c>
      <c r="V48" s="13">
        <f t="shared" si="11"/>
        <v>77242</v>
      </c>
    </row>
    <row r="49" spans="1:22" x14ac:dyDescent="0.25">
      <c r="A49" s="1">
        <v>46054</v>
      </c>
      <c r="B49" t="s">
        <v>48</v>
      </c>
      <c r="C49" s="1">
        <v>45033</v>
      </c>
      <c r="D49" s="1"/>
      <c r="E49" s="1" t="s">
        <v>357</v>
      </c>
      <c r="F49" s="1" t="s">
        <v>354</v>
      </c>
      <c r="G49" s="1" t="str">
        <f>VLOOKUP(tblPayroll[[#This Row],[Employee Id]],Table1[[Employee Id]:[Work Location]],13,0)</f>
        <v>Hyderabad</v>
      </c>
      <c r="H49">
        <v>0</v>
      </c>
      <c r="I49">
        <f t="shared" si="12"/>
        <v>28</v>
      </c>
      <c r="J49">
        <v>0</v>
      </c>
      <c r="K49" s="13">
        <f>ROUND(VLOOKUP($B49,'CTC Breakup'!$B$2:$O$51,7,0)/28*$I49,0)</f>
        <v>61459</v>
      </c>
      <c r="L49" s="13">
        <f>ROUND(VLOOKUP($B49,'CTC Breakup'!$B$2:$O$51,8,0)/28*$I49,0)</f>
        <v>24584</v>
      </c>
      <c r="M49" s="13">
        <f>ROUND(VLOOKUP($B49,'CTC Breakup'!$B$2:$O$51,9,0)/28*$I49,0)</f>
        <v>26499</v>
      </c>
      <c r="N49" s="13">
        <f>ROUND(VLOOKUP($B49,'CTC Breakup'!$B$2:$O$51,10,0)/28*$I49,0)</f>
        <v>2000</v>
      </c>
      <c r="O49" s="13">
        <f>ROUND(VLOOKUP($B49,'CTC Breakup'!$B$2:$O$51,11,0)/28*$I49,0)</f>
        <v>1000</v>
      </c>
      <c r="P49" s="13">
        <f>ROUND(((VLOOKUP($B49,'CTC Breakup'!$B$2:$N$51,13,0)-VLOOKUP($B49,'CTC Breakup'!$B$2:$N$51,12,0))/22/9)*$J49,0)</f>
        <v>0</v>
      </c>
      <c r="Q49" s="13">
        <v>0</v>
      </c>
      <c r="R49" s="13">
        <f t="shared" si="13"/>
        <v>115542</v>
      </c>
      <c r="S49" s="13">
        <f t="shared" si="14"/>
        <v>7375</v>
      </c>
      <c r="T49" s="13">
        <f t="shared" si="15"/>
        <v>34663</v>
      </c>
      <c r="U49" s="13">
        <v>0</v>
      </c>
      <c r="V49" s="13">
        <f t="shared" si="11"/>
        <v>73504</v>
      </c>
    </row>
    <row r="50" spans="1:22" x14ac:dyDescent="0.25">
      <c r="A50" s="1">
        <v>46054</v>
      </c>
      <c r="B50" t="s">
        <v>49</v>
      </c>
      <c r="C50" s="1">
        <v>45040</v>
      </c>
      <c r="D50" s="1"/>
      <c r="E50" s="1" t="s">
        <v>357</v>
      </c>
      <c r="F50" s="1" t="s">
        <v>354</v>
      </c>
      <c r="G50" s="1" t="str">
        <f>VLOOKUP(tblPayroll[[#This Row],[Employee Id]],Table1[[Employee Id]:[Work Location]],13,0)</f>
        <v>Bangalore</v>
      </c>
      <c r="H50">
        <v>0</v>
      </c>
      <c r="I50">
        <f t="shared" si="12"/>
        <v>28</v>
      </c>
      <c r="J50">
        <v>0</v>
      </c>
      <c r="K50" s="13">
        <f>ROUND(VLOOKUP($B50,'CTC Breakup'!$B$2:$O$51,7,0)/28*$I50,0)</f>
        <v>78125</v>
      </c>
      <c r="L50" s="13">
        <f>ROUND(VLOOKUP($B50,'CTC Breakup'!$B$2:$O$51,8,0)/28*$I50,0)</f>
        <v>31250</v>
      </c>
      <c r="M50" s="13">
        <f>ROUND(VLOOKUP($B50,'CTC Breakup'!$B$2:$O$51,9,0)/28*$I50,0)</f>
        <v>34500</v>
      </c>
      <c r="N50" s="13">
        <f>ROUND(VLOOKUP($B50,'CTC Breakup'!$B$2:$O$51,10,0)/28*$I50,0)</f>
        <v>2000</v>
      </c>
      <c r="O50" s="13">
        <f>ROUND(VLOOKUP($B50,'CTC Breakup'!$B$2:$O$51,11,0)/28*$I50,0)</f>
        <v>1000</v>
      </c>
      <c r="P50" s="13">
        <f>ROUND(((VLOOKUP($B50,'CTC Breakup'!$B$2:$N$51,13,0)-VLOOKUP($B50,'CTC Breakup'!$B$2:$N$51,12,0))/22/9)*$J50,0)</f>
        <v>0</v>
      </c>
      <c r="Q50" s="13">
        <v>0</v>
      </c>
      <c r="R50" s="13">
        <f t="shared" si="13"/>
        <v>146875</v>
      </c>
      <c r="S50" s="13">
        <f t="shared" si="14"/>
        <v>9375</v>
      </c>
      <c r="T50" s="13">
        <f t="shared" si="15"/>
        <v>44063</v>
      </c>
      <c r="U50" s="13">
        <v>0</v>
      </c>
      <c r="V50" s="13">
        <f t="shared" si="11"/>
        <v>93437</v>
      </c>
    </row>
    <row r="51" spans="1:22" x14ac:dyDescent="0.25">
      <c r="A51" s="1">
        <v>46054</v>
      </c>
      <c r="B51" t="s">
        <v>50</v>
      </c>
      <c r="C51" s="1">
        <v>45048</v>
      </c>
      <c r="D51" s="1">
        <v>46055</v>
      </c>
      <c r="E51" s="1" t="s">
        <v>380</v>
      </c>
      <c r="F51" s="1" t="s">
        <v>397</v>
      </c>
      <c r="G51" s="1" t="str">
        <f>VLOOKUP(tblPayroll[[#This Row],[Employee Id]],Table1[[Employee Id]:[Work Location]],13,0)</f>
        <v>Chennai</v>
      </c>
      <c r="H51">
        <v>0</v>
      </c>
      <c r="I51">
        <v>2</v>
      </c>
      <c r="J51">
        <v>24</v>
      </c>
      <c r="K51" s="13">
        <f>ROUND(VLOOKUP($B51,'CTC Breakup'!$B$2:$O$51,7,0)/28*$I51,0)</f>
        <v>3423</v>
      </c>
      <c r="L51" s="13">
        <f>ROUND(VLOOKUP($B51,'CTC Breakup'!$B$2:$O$51,8,0)/28*$I51,0)</f>
        <v>1369</v>
      </c>
      <c r="M51" s="13">
        <f>ROUND(VLOOKUP($B51,'CTC Breakup'!$B$2:$O$51,9,0)/28*$I51,0)</f>
        <v>1429</v>
      </c>
      <c r="N51" s="13">
        <f>ROUND(VLOOKUP($B51,'CTC Breakup'!$B$2:$O$51,10,0)/28*$I51,0)</f>
        <v>143</v>
      </c>
      <c r="O51" s="13">
        <f>ROUND(VLOOKUP($B51,'CTC Breakup'!$B$2:$O$51,11,0)/28*$I51,0)</f>
        <v>71</v>
      </c>
      <c r="P51" s="13">
        <f>ROUND(((VLOOKUP($B51,'CTC Breakup'!$B$2:$N$51,13,0)-VLOOKUP($B51,'CTC Breakup'!$B$2:$N$51,12,0))/22/9)*$J51,0)</f>
        <v>10919</v>
      </c>
      <c r="Q51" s="13">
        <v>0</v>
      </c>
      <c r="R51" s="13">
        <f t="shared" si="13"/>
        <v>17354</v>
      </c>
      <c r="S51" s="13">
        <f t="shared" si="14"/>
        <v>411</v>
      </c>
      <c r="T51" s="13">
        <f t="shared" si="15"/>
        <v>0</v>
      </c>
      <c r="U51" s="13">
        <v>14800</v>
      </c>
      <c r="V51" s="13">
        <f t="shared" si="11"/>
        <v>2143</v>
      </c>
    </row>
    <row r="52" spans="1:22" x14ac:dyDescent="0.25">
      <c r="A52" s="1">
        <v>46054</v>
      </c>
      <c r="B52" t="s">
        <v>51</v>
      </c>
      <c r="C52" s="1">
        <v>45075</v>
      </c>
      <c r="D52" s="1"/>
      <c r="E52" s="1" t="s">
        <v>380</v>
      </c>
      <c r="F52" s="1" t="s">
        <v>397</v>
      </c>
      <c r="G52" s="1" t="str">
        <f>VLOOKUP(tblPayroll[[#This Row],[Employee Id]],Table1[[Employee Id]:[Work Location]],13,0)</f>
        <v>Bangalore</v>
      </c>
      <c r="H52">
        <v>11</v>
      </c>
      <c r="I52">
        <f t="shared" si="12"/>
        <v>17</v>
      </c>
      <c r="J52">
        <v>16</v>
      </c>
      <c r="K52" s="13">
        <f>ROUND(VLOOKUP($B52,'CTC Breakup'!$B$2:$O$51,7,0)/28*$I52,0)</f>
        <v>28460</v>
      </c>
      <c r="L52" s="13">
        <f>ROUND(VLOOKUP($B52,'CTC Breakup'!$B$2:$O$51,8,0)/28*$I52,0)</f>
        <v>11384</v>
      </c>
      <c r="M52" s="13">
        <f>ROUND(VLOOKUP($B52,'CTC Breakup'!$B$2:$O$51,9,0)/28*$I52,0)</f>
        <v>11839</v>
      </c>
      <c r="N52" s="13">
        <f>ROUND(VLOOKUP($B52,'CTC Breakup'!$B$2:$O$51,10,0)/28*$I52,0)</f>
        <v>1214</v>
      </c>
      <c r="O52" s="13">
        <f>ROUND(VLOOKUP($B52,'CTC Breakup'!$B$2:$O$51,11,0)/28*$I52,0)</f>
        <v>607</v>
      </c>
      <c r="P52" s="13">
        <f>ROUND(((VLOOKUP($B52,'CTC Breakup'!$B$2:$N$51,13,0)-VLOOKUP($B52,'CTC Breakup'!$B$2:$N$51,12,0))/22/9)*$J52,0)</f>
        <v>7121</v>
      </c>
      <c r="Q52" s="13">
        <v>0</v>
      </c>
      <c r="R52" s="13">
        <f t="shared" si="13"/>
        <v>60625</v>
      </c>
      <c r="S52" s="13">
        <f t="shared" si="14"/>
        <v>3415</v>
      </c>
      <c r="T52" s="13">
        <f t="shared" si="15"/>
        <v>6063</v>
      </c>
      <c r="U52" s="13">
        <v>0</v>
      </c>
      <c r="V52" s="13">
        <f t="shared" si="11"/>
        <v>51147</v>
      </c>
    </row>
    <row r="53" spans="1:22" x14ac:dyDescent="0.25">
      <c r="A53" s="1">
        <v>46054</v>
      </c>
      <c r="B53" t="s">
        <v>52</v>
      </c>
      <c r="C53" s="1">
        <v>45170</v>
      </c>
      <c r="D53" s="1"/>
      <c r="E53" s="1" t="s">
        <v>382</v>
      </c>
      <c r="F53" s="1" t="s">
        <v>353</v>
      </c>
      <c r="G53" s="1" t="str">
        <f>VLOOKUP(tblPayroll[[#This Row],[Employee Id]],Table1[[Employee Id]:[Work Location]],13,0)</f>
        <v>Mumbai</v>
      </c>
      <c r="H53">
        <v>10</v>
      </c>
      <c r="I53">
        <f t="shared" si="12"/>
        <v>18</v>
      </c>
      <c r="J53">
        <v>0</v>
      </c>
      <c r="K53" s="13">
        <f>ROUND(VLOOKUP($B53,'CTC Breakup'!$B$2:$O$51,7,0)/28*$I53,0)</f>
        <v>29465</v>
      </c>
      <c r="L53" s="13">
        <f>ROUND(VLOOKUP($B53,'CTC Breakup'!$B$2:$O$51,8,0)/28*$I53,0)</f>
        <v>11786</v>
      </c>
      <c r="M53" s="13">
        <f>ROUND(VLOOKUP($B53,'CTC Breakup'!$B$2:$O$51,9,0)/28*$I53,0)</f>
        <v>12214</v>
      </c>
      <c r="N53" s="13">
        <f>ROUND(VLOOKUP($B53,'CTC Breakup'!$B$2:$O$51,10,0)/28*$I53,0)</f>
        <v>1286</v>
      </c>
      <c r="O53" s="13">
        <f>ROUND(VLOOKUP($B53,'CTC Breakup'!$B$2:$O$51,11,0)/28*$I53,0)</f>
        <v>643</v>
      </c>
      <c r="P53" s="13">
        <f>ROUND(((VLOOKUP($B53,'CTC Breakup'!$B$2:$N$51,13,0)-VLOOKUP($B53,'CTC Breakup'!$B$2:$N$51,12,0))/22/9)*$J53,0)</f>
        <v>0</v>
      </c>
      <c r="Q53" s="13">
        <v>18390</v>
      </c>
      <c r="R53" s="13">
        <f t="shared" si="13"/>
        <v>73784</v>
      </c>
      <c r="S53" s="13">
        <f t="shared" si="14"/>
        <v>3536</v>
      </c>
      <c r="T53" s="13">
        <f t="shared" si="15"/>
        <v>7378</v>
      </c>
      <c r="U53" s="13">
        <v>10500</v>
      </c>
      <c r="V53" s="13">
        <f t="shared" si="11"/>
        <v>52370</v>
      </c>
    </row>
    <row r="54" spans="1:22" x14ac:dyDescent="0.25">
      <c r="A54" s="1">
        <v>46054</v>
      </c>
      <c r="B54" t="s">
        <v>53</v>
      </c>
      <c r="C54" s="1">
        <v>45173</v>
      </c>
      <c r="D54" s="1"/>
      <c r="E54" s="1" t="s">
        <v>372</v>
      </c>
      <c r="F54" s="1" t="s">
        <v>353</v>
      </c>
      <c r="G54" s="1" t="str">
        <f>VLOOKUP(tblPayroll[[#This Row],[Employee Id]],Table1[[Employee Id]:[Work Location]],13,0)</f>
        <v>Kolkata</v>
      </c>
      <c r="H54">
        <v>11</v>
      </c>
      <c r="I54">
        <f t="shared" si="12"/>
        <v>17</v>
      </c>
      <c r="J54">
        <v>17</v>
      </c>
      <c r="K54" s="13">
        <f>ROUND(VLOOKUP($B54,'CTC Breakup'!$B$2:$O$51,7,0)/28*$I54,0)</f>
        <v>19732</v>
      </c>
      <c r="L54" s="13">
        <f>ROUND(VLOOKUP($B54,'CTC Breakup'!$B$2:$O$51,8,0)/28*$I54,0)</f>
        <v>7893</v>
      </c>
      <c r="M54" s="13">
        <f>ROUND(VLOOKUP($B54,'CTC Breakup'!$B$2:$O$51,9,0)/28*$I54,0)</f>
        <v>9471</v>
      </c>
      <c r="N54" s="13">
        <f>ROUND(VLOOKUP($B54,'CTC Breakup'!$B$2:$O$51,10,0)/28*$I54,0)</f>
        <v>0</v>
      </c>
      <c r="O54" s="13">
        <f>ROUND(VLOOKUP($B54,'CTC Breakup'!$B$2:$O$51,11,0)/28*$I54,0)</f>
        <v>0</v>
      </c>
      <c r="P54" s="13">
        <f>ROUND(((VLOOKUP($B54,'CTC Breakup'!$B$2:$N$51,13,0)-VLOOKUP($B54,'CTC Breakup'!$B$2:$N$51,12,0))/22/9)*$J54,0)</f>
        <v>5246</v>
      </c>
      <c r="Q54" s="13">
        <v>11350</v>
      </c>
      <c r="R54" s="13">
        <f t="shared" si="13"/>
        <v>53692</v>
      </c>
      <c r="S54" s="13">
        <f t="shared" si="14"/>
        <v>2368</v>
      </c>
      <c r="T54" s="13">
        <f t="shared" si="15"/>
        <v>5369</v>
      </c>
      <c r="U54" s="13">
        <v>0</v>
      </c>
      <c r="V54" s="13">
        <f t="shared" si="11"/>
        <v>45955</v>
      </c>
    </row>
    <row r="55" spans="1:22" x14ac:dyDescent="0.25">
      <c r="A55" s="1">
        <v>46054</v>
      </c>
      <c r="B55" t="s">
        <v>56</v>
      </c>
      <c r="C55" s="1">
        <v>45236</v>
      </c>
      <c r="D55" s="1"/>
      <c r="E55" s="1" t="s">
        <v>370</v>
      </c>
      <c r="F55" s="1" t="s">
        <v>363</v>
      </c>
      <c r="G55" s="1" t="str">
        <f>VLOOKUP(tblPayroll[[#This Row],[Employee Id]],Table1[[Employee Id]:[Work Location]],13,0)</f>
        <v>Mumbai</v>
      </c>
      <c r="H55">
        <v>0</v>
      </c>
      <c r="I55">
        <f t="shared" si="12"/>
        <v>28</v>
      </c>
      <c r="J55">
        <v>0</v>
      </c>
      <c r="K55" s="13">
        <f>ROUND(VLOOKUP($B55,'CTC Breakup'!$B$2:$O$51,7,0)/28*$I55,0)</f>
        <v>28334</v>
      </c>
      <c r="L55" s="13">
        <f>ROUND(VLOOKUP($B55,'CTC Breakup'!$B$2:$O$51,8,0)/28*$I55,0)</f>
        <v>11334</v>
      </c>
      <c r="M55" s="13">
        <f>ROUND(VLOOKUP($B55,'CTC Breakup'!$B$2:$O$51,9,0)/28*$I55,0)</f>
        <v>13599</v>
      </c>
      <c r="N55" s="13">
        <f>ROUND(VLOOKUP($B55,'CTC Breakup'!$B$2:$O$51,10,0)/28*$I55,0)</f>
        <v>0</v>
      </c>
      <c r="O55" s="13">
        <f>ROUND(VLOOKUP($B55,'CTC Breakup'!$B$2:$O$51,11,0)/28*$I55,0)</f>
        <v>0</v>
      </c>
      <c r="P55" s="13">
        <f>ROUND(((VLOOKUP($B55,'CTC Breakup'!$B$2:$N$51,13,0)-VLOOKUP($B55,'CTC Breakup'!$B$2:$N$51,12,0))/22/9)*$J55,0)</f>
        <v>0</v>
      </c>
      <c r="Q55" s="13">
        <v>0</v>
      </c>
      <c r="R55" s="13">
        <f t="shared" si="13"/>
        <v>53267</v>
      </c>
      <c r="S55" s="13">
        <f t="shared" si="14"/>
        <v>3400</v>
      </c>
      <c r="T55" s="13">
        <f t="shared" si="15"/>
        <v>5327</v>
      </c>
      <c r="U55" s="13">
        <v>0</v>
      </c>
      <c r="V55" s="13">
        <f t="shared" si="11"/>
        <v>44540</v>
      </c>
    </row>
    <row r="56" spans="1:22" x14ac:dyDescent="0.25">
      <c r="A56" s="1">
        <v>46054</v>
      </c>
      <c r="B56" t="s">
        <v>58</v>
      </c>
      <c r="C56" s="1">
        <v>45320</v>
      </c>
      <c r="D56" s="1"/>
      <c r="E56" s="1" t="s">
        <v>359</v>
      </c>
      <c r="F56" s="1" t="s">
        <v>398</v>
      </c>
      <c r="G56" s="1" t="str">
        <f>VLOOKUP(tblPayroll[[#This Row],[Employee Id]],Table1[[Employee Id]:[Work Location]],13,0)</f>
        <v>Hyderabad</v>
      </c>
      <c r="H56">
        <v>0</v>
      </c>
      <c r="I56">
        <f t="shared" si="12"/>
        <v>28</v>
      </c>
      <c r="J56">
        <v>0</v>
      </c>
      <c r="K56" s="13">
        <f>ROUND(VLOOKUP($B56,'CTC Breakup'!$B$2:$O$51,7,0)/28*$I56,0)</f>
        <v>50000</v>
      </c>
      <c r="L56" s="13">
        <f>ROUND(VLOOKUP($B56,'CTC Breakup'!$B$2:$O$51,8,0)/28*$I56,0)</f>
        <v>20000</v>
      </c>
      <c r="M56" s="13">
        <f>ROUND(VLOOKUP($B56,'CTC Breakup'!$B$2:$O$51,9,0)/28*$I56,0)</f>
        <v>21000</v>
      </c>
      <c r="N56" s="13">
        <f>ROUND(VLOOKUP($B56,'CTC Breakup'!$B$2:$O$51,10,0)/28*$I56,0)</f>
        <v>2000</v>
      </c>
      <c r="O56" s="13">
        <f>ROUND(VLOOKUP($B56,'CTC Breakup'!$B$2:$O$51,11,0)/28*$I56,0)</f>
        <v>1000</v>
      </c>
      <c r="P56" s="13">
        <f>ROUND(((VLOOKUP($B56,'CTC Breakup'!$B$2:$N$51,13,0)-VLOOKUP($B56,'CTC Breakup'!$B$2:$N$51,12,0))/22/9)*$J56,0)</f>
        <v>0</v>
      </c>
      <c r="Q56" s="13">
        <v>0</v>
      </c>
      <c r="R56" s="13">
        <f t="shared" si="13"/>
        <v>94000</v>
      </c>
      <c r="S56" s="13">
        <f t="shared" si="14"/>
        <v>6000</v>
      </c>
      <c r="T56" s="13">
        <f t="shared" si="15"/>
        <v>18800</v>
      </c>
      <c r="U56" s="13">
        <v>0</v>
      </c>
      <c r="V56" s="13">
        <f t="shared" si="11"/>
        <v>69200</v>
      </c>
    </row>
    <row r="57" spans="1:22" x14ac:dyDescent="0.25">
      <c r="A57" s="1">
        <v>46054</v>
      </c>
      <c r="B57" t="s">
        <v>59</v>
      </c>
      <c r="C57" s="1">
        <v>45327</v>
      </c>
      <c r="D57" s="1">
        <v>46084</v>
      </c>
      <c r="E57" s="1" t="s">
        <v>366</v>
      </c>
      <c r="F57" s="1" t="s">
        <v>397</v>
      </c>
      <c r="G57" s="1" t="str">
        <f>VLOOKUP(tblPayroll[[#This Row],[Employee Id]],Table1[[Employee Id]:[Work Location]],13,0)</f>
        <v>Kolkata</v>
      </c>
      <c r="H57">
        <v>0</v>
      </c>
      <c r="I57">
        <f t="shared" si="12"/>
        <v>28</v>
      </c>
      <c r="J57">
        <v>24</v>
      </c>
      <c r="K57" s="13">
        <f>ROUND(VLOOKUP($B57,'CTC Breakup'!$B$2:$O$51,7,0)/28*$I57,0)</f>
        <v>32500</v>
      </c>
      <c r="L57" s="13">
        <f>ROUND(VLOOKUP($B57,'CTC Breakup'!$B$2:$O$51,8,0)/28*$I57,0)</f>
        <v>13000</v>
      </c>
      <c r="M57" s="13">
        <f>ROUND(VLOOKUP($B57,'CTC Breakup'!$B$2:$O$51,9,0)/28*$I57,0)</f>
        <v>15600</v>
      </c>
      <c r="N57" s="13">
        <f>ROUND(VLOOKUP($B57,'CTC Breakup'!$B$2:$O$51,10,0)/28*$I57,0)</f>
        <v>0</v>
      </c>
      <c r="O57" s="13">
        <f>ROUND(VLOOKUP($B57,'CTC Breakup'!$B$2:$O$51,11,0)/28*$I57,0)</f>
        <v>0</v>
      </c>
      <c r="P57" s="13">
        <f>ROUND(((VLOOKUP($B57,'CTC Breakup'!$B$2:$N$51,13,0)-VLOOKUP($B57,'CTC Breakup'!$B$2:$N$51,12,0))/22/9)*$J57,0)</f>
        <v>7406</v>
      </c>
      <c r="Q57" s="13">
        <v>0</v>
      </c>
      <c r="R57" s="13">
        <f t="shared" si="13"/>
        <v>68506</v>
      </c>
      <c r="S57" s="13">
        <f t="shared" si="14"/>
        <v>3900</v>
      </c>
      <c r="T57" s="13">
        <f t="shared" si="15"/>
        <v>6851</v>
      </c>
      <c r="U57" s="13">
        <v>0</v>
      </c>
      <c r="V57" s="13">
        <f t="shared" si="11"/>
        <v>57755</v>
      </c>
    </row>
    <row r="58" spans="1:22" x14ac:dyDescent="0.25">
      <c r="A58" s="1">
        <v>46054</v>
      </c>
      <c r="B58" t="s">
        <v>60</v>
      </c>
      <c r="C58" s="1">
        <v>45328</v>
      </c>
      <c r="D58" s="1"/>
      <c r="E58" s="1" t="s">
        <v>366</v>
      </c>
      <c r="F58" s="1" t="s">
        <v>397</v>
      </c>
      <c r="G58" s="1" t="str">
        <f>VLOOKUP(tblPayroll[[#This Row],[Employee Id]],Table1[[Employee Id]:[Work Location]],13,0)</f>
        <v>Chennai</v>
      </c>
      <c r="H58">
        <v>7</v>
      </c>
      <c r="I58">
        <f t="shared" si="12"/>
        <v>21</v>
      </c>
      <c r="J58">
        <v>0</v>
      </c>
      <c r="K58" s="13">
        <f>ROUND(VLOOKUP($B58,'CTC Breakup'!$B$2:$O$51,7,0)/28*$I58,0)</f>
        <v>22657</v>
      </c>
      <c r="L58" s="13">
        <f>ROUND(VLOOKUP($B58,'CTC Breakup'!$B$2:$O$51,8,0)/28*$I58,0)</f>
        <v>9063</v>
      </c>
      <c r="M58" s="13">
        <f>ROUND(VLOOKUP($B58,'CTC Breakup'!$B$2:$O$51,9,0)/28*$I58,0)</f>
        <v>10874</v>
      </c>
      <c r="N58" s="13">
        <f>ROUND(VLOOKUP($B58,'CTC Breakup'!$B$2:$O$51,10,0)/28*$I58,0)</f>
        <v>0</v>
      </c>
      <c r="O58" s="13">
        <f>ROUND(VLOOKUP($B58,'CTC Breakup'!$B$2:$O$51,11,0)/28*$I58,0)</f>
        <v>0</v>
      </c>
      <c r="P58" s="13">
        <f>ROUND(((VLOOKUP($B58,'CTC Breakup'!$B$2:$N$51,13,0)-VLOOKUP($B58,'CTC Breakup'!$B$2:$N$51,12,0))/22/9)*$J58,0)</f>
        <v>0</v>
      </c>
      <c r="Q58" s="13">
        <v>0</v>
      </c>
      <c r="R58" s="13">
        <f t="shared" si="13"/>
        <v>42594</v>
      </c>
      <c r="S58" s="13">
        <f t="shared" si="14"/>
        <v>2719</v>
      </c>
      <c r="T58" s="13">
        <f t="shared" si="15"/>
        <v>0</v>
      </c>
      <c r="U58" s="13">
        <v>0</v>
      </c>
      <c r="V58" s="13">
        <f t="shared" si="11"/>
        <v>39875</v>
      </c>
    </row>
    <row r="59" spans="1:22" x14ac:dyDescent="0.25">
      <c r="A59" s="1">
        <v>46054</v>
      </c>
      <c r="B59" t="s">
        <v>62</v>
      </c>
      <c r="C59" s="1">
        <v>45418</v>
      </c>
      <c r="D59" s="1"/>
      <c r="E59" s="1" t="s">
        <v>359</v>
      </c>
      <c r="F59" s="1" t="s">
        <v>398</v>
      </c>
      <c r="G59" s="1" t="str">
        <f>VLOOKUP(tblPayroll[[#This Row],[Employee Id]],Table1[[Employee Id]:[Work Location]],13,0)</f>
        <v>Mumbai</v>
      </c>
      <c r="H59">
        <v>0</v>
      </c>
      <c r="I59">
        <f t="shared" si="12"/>
        <v>28</v>
      </c>
      <c r="J59">
        <v>22</v>
      </c>
      <c r="K59" s="13">
        <f>ROUND(VLOOKUP($B59,'CTC Breakup'!$B$2:$O$51,7,0)/28*$I59,0)</f>
        <v>47917</v>
      </c>
      <c r="L59" s="13">
        <f>ROUND(VLOOKUP($B59,'CTC Breakup'!$B$2:$O$51,8,0)/28*$I59,0)</f>
        <v>19167</v>
      </c>
      <c r="M59" s="13">
        <f>ROUND(VLOOKUP($B59,'CTC Breakup'!$B$2:$O$51,9,0)/28*$I59,0)</f>
        <v>19999</v>
      </c>
      <c r="N59" s="13">
        <f>ROUND(VLOOKUP($B59,'CTC Breakup'!$B$2:$O$51,10,0)/28*$I59,0)</f>
        <v>2000</v>
      </c>
      <c r="O59" s="13">
        <f>ROUND(VLOOKUP($B59,'CTC Breakup'!$B$2:$O$51,11,0)/28*$I59,0)</f>
        <v>1000</v>
      </c>
      <c r="P59" s="13">
        <f>ROUND(((VLOOKUP($B59,'CTC Breakup'!$B$2:$N$51,13,0)-VLOOKUP($B59,'CTC Breakup'!$B$2:$N$51,12,0))/22/9)*$J59,0)</f>
        <v>10009</v>
      </c>
      <c r="Q59" s="13">
        <v>0</v>
      </c>
      <c r="R59" s="13">
        <f t="shared" si="13"/>
        <v>100092</v>
      </c>
      <c r="S59" s="13">
        <f t="shared" si="14"/>
        <v>5750</v>
      </c>
      <c r="T59" s="13">
        <f t="shared" si="15"/>
        <v>30028</v>
      </c>
      <c r="U59" s="13">
        <v>0</v>
      </c>
      <c r="V59" s="13">
        <f t="shared" si="11"/>
        <v>64314</v>
      </c>
    </row>
    <row r="60" spans="1:22" x14ac:dyDescent="0.25">
      <c r="A60" s="1">
        <v>46054</v>
      </c>
      <c r="B60" t="s">
        <v>64</v>
      </c>
      <c r="C60" s="1">
        <v>45502</v>
      </c>
      <c r="D60" s="1"/>
      <c r="E60" s="1" t="s">
        <v>381</v>
      </c>
      <c r="F60" s="1" t="s">
        <v>353</v>
      </c>
      <c r="G60" s="1" t="str">
        <f>VLOOKUP(tblPayroll[[#This Row],[Employee Id]],Table1[[Employee Id]:[Work Location]],13,0)</f>
        <v>Hyderabad</v>
      </c>
      <c r="H60">
        <v>0</v>
      </c>
      <c r="I60">
        <f t="shared" si="12"/>
        <v>28</v>
      </c>
      <c r="J60">
        <v>21</v>
      </c>
      <c r="K60" s="13">
        <f>ROUND(VLOOKUP($B60,'CTC Breakup'!$B$2:$O$51,7,0)/28*$I60,0)</f>
        <v>18750</v>
      </c>
      <c r="L60" s="13">
        <f>ROUND(VLOOKUP($B60,'CTC Breakup'!$B$2:$O$51,8,0)/28*$I60,0)</f>
        <v>7500</v>
      </c>
      <c r="M60" s="13">
        <f>ROUND(VLOOKUP($B60,'CTC Breakup'!$B$2:$O$51,9,0)/28*$I60,0)</f>
        <v>9000</v>
      </c>
      <c r="N60" s="13">
        <f>ROUND(VLOOKUP($B60,'CTC Breakup'!$B$2:$O$51,10,0)/28*$I60,0)</f>
        <v>0</v>
      </c>
      <c r="O60" s="13">
        <f>ROUND(VLOOKUP($B60,'CTC Breakup'!$B$2:$O$51,11,0)/28*$I60,0)</f>
        <v>0</v>
      </c>
      <c r="P60" s="13">
        <f>ROUND(((VLOOKUP($B60,'CTC Breakup'!$B$2:$N$51,13,0)-VLOOKUP($B60,'CTC Breakup'!$B$2:$N$51,12,0))/22/9)*$J60,0)</f>
        <v>3739</v>
      </c>
      <c r="Q60" s="13">
        <v>6870</v>
      </c>
      <c r="R60" s="13">
        <f t="shared" si="13"/>
        <v>45859</v>
      </c>
      <c r="S60" s="13">
        <f t="shared" si="14"/>
        <v>2250</v>
      </c>
      <c r="T60" s="13">
        <f t="shared" si="15"/>
        <v>0</v>
      </c>
      <c r="U60" s="13">
        <v>0</v>
      </c>
      <c r="V60" s="13">
        <f t="shared" si="11"/>
        <v>43609</v>
      </c>
    </row>
    <row r="61" spans="1:22" x14ac:dyDescent="0.25">
      <c r="A61" s="1">
        <v>46054</v>
      </c>
      <c r="B61" t="s">
        <v>65</v>
      </c>
      <c r="C61" s="1">
        <v>45509</v>
      </c>
      <c r="D61" s="1"/>
      <c r="E61" s="1" t="s">
        <v>370</v>
      </c>
      <c r="F61" s="1" t="s">
        <v>363</v>
      </c>
      <c r="G61" s="1" t="str">
        <f>VLOOKUP(tblPayroll[[#This Row],[Employee Id]],Table1[[Employee Id]:[Work Location]],13,0)</f>
        <v>Kolkata</v>
      </c>
      <c r="H61">
        <v>0</v>
      </c>
      <c r="I61">
        <f t="shared" si="12"/>
        <v>28</v>
      </c>
      <c r="J61">
        <v>0</v>
      </c>
      <c r="K61" s="13">
        <f>ROUND(VLOOKUP($B61,'CTC Breakup'!$B$2:$O$51,7,0)/28*$I61,0)</f>
        <v>27084</v>
      </c>
      <c r="L61" s="13">
        <f>ROUND(VLOOKUP($B61,'CTC Breakup'!$B$2:$O$51,8,0)/28*$I61,0)</f>
        <v>10834</v>
      </c>
      <c r="M61" s="13">
        <f>ROUND(VLOOKUP($B61,'CTC Breakup'!$B$2:$O$51,9,0)/28*$I61,0)</f>
        <v>12999</v>
      </c>
      <c r="N61" s="13">
        <f>ROUND(VLOOKUP($B61,'CTC Breakup'!$B$2:$O$51,10,0)/28*$I61,0)</f>
        <v>0</v>
      </c>
      <c r="O61" s="13">
        <f>ROUND(VLOOKUP($B61,'CTC Breakup'!$B$2:$O$51,11,0)/28*$I61,0)</f>
        <v>0</v>
      </c>
      <c r="P61" s="13">
        <f>ROUND(((VLOOKUP($B61,'CTC Breakup'!$B$2:$N$51,13,0)-VLOOKUP($B61,'CTC Breakup'!$B$2:$N$51,12,0))/22/9)*$J61,0)</f>
        <v>0</v>
      </c>
      <c r="Q61" s="13">
        <v>0</v>
      </c>
      <c r="R61" s="13">
        <f t="shared" si="13"/>
        <v>50917</v>
      </c>
      <c r="S61" s="13">
        <f t="shared" si="14"/>
        <v>3250</v>
      </c>
      <c r="T61" s="13">
        <f t="shared" si="15"/>
        <v>5092</v>
      </c>
      <c r="U61" s="13">
        <v>0</v>
      </c>
      <c r="V61" s="13">
        <f t="shared" si="11"/>
        <v>42575</v>
      </c>
    </row>
    <row r="62" spans="1:22" x14ac:dyDescent="0.25">
      <c r="A62" s="1">
        <v>46054</v>
      </c>
      <c r="B62" t="s">
        <v>66</v>
      </c>
      <c r="C62" s="1">
        <v>45537</v>
      </c>
      <c r="D62" s="1">
        <v>46098</v>
      </c>
      <c r="E62" s="1" t="s">
        <v>357</v>
      </c>
      <c r="F62" s="1" t="s">
        <v>354</v>
      </c>
      <c r="G62" s="1" t="str">
        <f>VLOOKUP(tblPayroll[[#This Row],[Employee Id]],Table1[[Employee Id]:[Work Location]],13,0)</f>
        <v>Hyderabad</v>
      </c>
      <c r="H62">
        <v>0</v>
      </c>
      <c r="I62">
        <f t="shared" si="12"/>
        <v>28</v>
      </c>
      <c r="J62">
        <v>22</v>
      </c>
      <c r="K62" s="13">
        <f>ROUND(VLOOKUP($B62,'CTC Breakup'!$B$2:$O$51,7,0)/28*$I62,0)</f>
        <v>59792</v>
      </c>
      <c r="L62" s="13">
        <f>ROUND(VLOOKUP($B62,'CTC Breakup'!$B$2:$O$51,8,0)/28*$I62,0)</f>
        <v>23917</v>
      </c>
      <c r="M62" s="13">
        <f>ROUND(VLOOKUP($B62,'CTC Breakup'!$B$2:$O$51,9,0)/28*$I62,0)</f>
        <v>25699</v>
      </c>
      <c r="N62" s="13">
        <f>ROUND(VLOOKUP($B62,'CTC Breakup'!$B$2:$O$51,10,0)/28*$I62,0)</f>
        <v>2000</v>
      </c>
      <c r="O62" s="13">
        <f>ROUND(VLOOKUP($B62,'CTC Breakup'!$B$2:$O$51,11,0)/28*$I62,0)</f>
        <v>1000</v>
      </c>
      <c r="P62" s="13">
        <f>ROUND(((VLOOKUP($B62,'CTC Breakup'!$B$2:$N$51,13,0)-VLOOKUP($B62,'CTC Breakup'!$B$2:$N$51,12,0))/22/9)*$J62,0)</f>
        <v>12490</v>
      </c>
      <c r="Q62" s="13">
        <v>0</v>
      </c>
      <c r="R62" s="13">
        <f t="shared" si="13"/>
        <v>124898</v>
      </c>
      <c r="S62" s="13">
        <f t="shared" si="14"/>
        <v>7175</v>
      </c>
      <c r="T62" s="13">
        <f t="shared" si="15"/>
        <v>37469</v>
      </c>
      <c r="U62" s="13">
        <v>11600</v>
      </c>
      <c r="V62" s="13">
        <f t="shared" si="11"/>
        <v>68654</v>
      </c>
    </row>
    <row r="63" spans="1:22" x14ac:dyDescent="0.25">
      <c r="A63" s="1">
        <v>46054</v>
      </c>
      <c r="B63" t="s">
        <v>68</v>
      </c>
      <c r="C63" s="1">
        <v>45579</v>
      </c>
      <c r="D63" s="1"/>
      <c r="E63" s="1" t="s">
        <v>366</v>
      </c>
      <c r="F63" s="1" t="s">
        <v>397</v>
      </c>
      <c r="G63" s="1" t="str">
        <f>VLOOKUP(tblPayroll[[#This Row],[Employee Id]],Table1[[Employee Id]:[Work Location]],13,0)</f>
        <v>Bangalore</v>
      </c>
      <c r="H63">
        <v>5</v>
      </c>
      <c r="I63">
        <f t="shared" si="12"/>
        <v>23</v>
      </c>
      <c r="J63">
        <v>0</v>
      </c>
      <c r="K63" s="13">
        <f>ROUND(VLOOKUP($B63,'CTC Breakup'!$B$2:$O$51,7,0)/28*$I63,0)</f>
        <v>23959</v>
      </c>
      <c r="L63" s="13">
        <f>ROUND(VLOOKUP($B63,'CTC Breakup'!$B$2:$O$51,8,0)/28*$I63,0)</f>
        <v>9584</v>
      </c>
      <c r="M63" s="13">
        <f>ROUND(VLOOKUP($B63,'CTC Breakup'!$B$2:$O$51,9,0)/28*$I63,0)</f>
        <v>11499</v>
      </c>
      <c r="N63" s="13">
        <f>ROUND(VLOOKUP($B63,'CTC Breakup'!$B$2:$O$51,10,0)/28*$I63,0)</f>
        <v>0</v>
      </c>
      <c r="O63" s="13">
        <f>ROUND(VLOOKUP($B63,'CTC Breakup'!$B$2:$O$51,11,0)/28*$I63,0)</f>
        <v>0</v>
      </c>
      <c r="P63" s="13">
        <f>ROUND(((VLOOKUP($B63,'CTC Breakup'!$B$2:$N$51,13,0)-VLOOKUP($B63,'CTC Breakup'!$B$2:$N$51,12,0))/22/9)*$J63,0)</f>
        <v>0</v>
      </c>
      <c r="Q63" s="13">
        <v>0</v>
      </c>
      <c r="R63" s="13">
        <f t="shared" si="13"/>
        <v>45042</v>
      </c>
      <c r="S63" s="13">
        <f t="shared" si="14"/>
        <v>2875</v>
      </c>
      <c r="T63" s="13">
        <f t="shared" si="15"/>
        <v>0</v>
      </c>
      <c r="U63" s="13">
        <v>0</v>
      </c>
      <c r="V63" s="13">
        <f t="shared" si="11"/>
        <v>42167</v>
      </c>
    </row>
    <row r="64" spans="1:22" x14ac:dyDescent="0.25">
      <c r="A64" s="1">
        <v>46054</v>
      </c>
      <c r="B64" t="s">
        <v>69</v>
      </c>
      <c r="C64" s="1">
        <v>45607</v>
      </c>
      <c r="D64" s="1"/>
      <c r="E64" s="1" t="s">
        <v>368</v>
      </c>
      <c r="F64" s="1" t="s">
        <v>398</v>
      </c>
      <c r="G64" s="1" t="str">
        <f>VLOOKUP(tblPayroll[[#This Row],[Employee Id]],Table1[[Employee Id]:[Work Location]],13,0)</f>
        <v>Chennai</v>
      </c>
      <c r="H64">
        <v>10</v>
      </c>
      <c r="I64">
        <f t="shared" si="12"/>
        <v>18</v>
      </c>
      <c r="J64">
        <v>0</v>
      </c>
      <c r="K64" s="13">
        <f>ROUND(VLOOKUP($B64,'CTC Breakup'!$B$2:$O$51,7,0)/28*$I64,0)</f>
        <v>20089</v>
      </c>
      <c r="L64" s="13">
        <f>ROUND(VLOOKUP($B64,'CTC Breakup'!$B$2:$O$51,8,0)/28*$I64,0)</f>
        <v>8036</v>
      </c>
      <c r="M64" s="13">
        <f>ROUND(VLOOKUP($B64,'CTC Breakup'!$B$2:$O$51,9,0)/28*$I64,0)</f>
        <v>9643</v>
      </c>
      <c r="N64" s="13">
        <f>ROUND(VLOOKUP($B64,'CTC Breakup'!$B$2:$O$51,10,0)/28*$I64,0)</f>
        <v>0</v>
      </c>
      <c r="O64" s="13">
        <f>ROUND(VLOOKUP($B64,'CTC Breakup'!$B$2:$O$51,11,0)/28*$I64,0)</f>
        <v>0</v>
      </c>
      <c r="P64" s="13">
        <f>ROUND(((VLOOKUP($B64,'CTC Breakup'!$B$2:$N$51,13,0)-VLOOKUP($B64,'CTC Breakup'!$B$2:$N$51,12,0))/22/9)*$J64,0)</f>
        <v>0</v>
      </c>
      <c r="Q64" s="13">
        <v>0</v>
      </c>
      <c r="R64" s="13">
        <f t="shared" si="13"/>
        <v>37768</v>
      </c>
      <c r="S64" s="13">
        <f t="shared" si="14"/>
        <v>2411</v>
      </c>
      <c r="T64" s="13">
        <f t="shared" si="15"/>
        <v>0</v>
      </c>
      <c r="U64" s="13">
        <v>14600</v>
      </c>
      <c r="V64" s="13">
        <f t="shared" si="11"/>
        <v>20757</v>
      </c>
    </row>
    <row r="65" spans="1:22" x14ac:dyDescent="0.25">
      <c r="A65" s="1">
        <v>46054</v>
      </c>
      <c r="B65" t="s">
        <v>70</v>
      </c>
      <c r="C65" s="1">
        <v>45614</v>
      </c>
      <c r="D65" s="1"/>
      <c r="E65" s="1" t="s">
        <v>365</v>
      </c>
      <c r="F65" s="1" t="s">
        <v>354</v>
      </c>
      <c r="G65" s="1" t="str">
        <f>VLOOKUP(tblPayroll[[#This Row],[Employee Id]],Table1[[Employee Id]:[Work Location]],13,0)</f>
        <v>Bangalore</v>
      </c>
      <c r="H65">
        <v>7</v>
      </c>
      <c r="I65">
        <f t="shared" si="12"/>
        <v>21</v>
      </c>
      <c r="J65">
        <v>25</v>
      </c>
      <c r="K65" s="13">
        <f>ROUND(VLOOKUP($B65,'CTC Breakup'!$B$2:$O$51,7,0)/28*$I65,0)</f>
        <v>39063</v>
      </c>
      <c r="L65" s="13">
        <f>ROUND(VLOOKUP($B65,'CTC Breakup'!$B$2:$O$51,8,0)/28*$I65,0)</f>
        <v>15626</v>
      </c>
      <c r="M65" s="13">
        <f>ROUND(VLOOKUP($B65,'CTC Breakup'!$B$2:$O$51,9,0)/28*$I65,0)</f>
        <v>16499</v>
      </c>
      <c r="N65" s="13">
        <f>ROUND(VLOOKUP($B65,'CTC Breakup'!$B$2:$O$51,10,0)/28*$I65,0)</f>
        <v>1500</v>
      </c>
      <c r="O65" s="13">
        <f>ROUND(VLOOKUP($B65,'CTC Breakup'!$B$2:$O$51,11,0)/28*$I65,0)</f>
        <v>750</v>
      </c>
      <c r="P65" s="13">
        <f>ROUND(((VLOOKUP($B65,'CTC Breakup'!$B$2:$N$51,13,0)-VLOOKUP($B65,'CTC Breakup'!$B$2:$N$51,12,0))/22/9)*$J65,0)</f>
        <v>12363</v>
      </c>
      <c r="Q65" s="13">
        <v>0</v>
      </c>
      <c r="R65" s="13">
        <f t="shared" si="13"/>
        <v>85801</v>
      </c>
      <c r="S65" s="13">
        <f t="shared" si="14"/>
        <v>4688</v>
      </c>
      <c r="T65" s="13">
        <f t="shared" si="15"/>
        <v>17160</v>
      </c>
      <c r="U65" s="13">
        <v>0</v>
      </c>
      <c r="V65" s="13">
        <f t="shared" si="11"/>
        <v>63953</v>
      </c>
    </row>
    <row r="66" spans="1:22" x14ac:dyDescent="0.25">
      <c r="A66" s="1">
        <v>46054</v>
      </c>
      <c r="B66" t="s">
        <v>72</v>
      </c>
      <c r="C66" s="1">
        <v>45663</v>
      </c>
      <c r="D66" s="1"/>
      <c r="E66" s="1" t="s">
        <v>368</v>
      </c>
      <c r="F66" s="1" t="s">
        <v>398</v>
      </c>
      <c r="G66" s="1" t="str">
        <f>VLOOKUP(tblPayroll[[#This Row],[Employee Id]],Table1[[Employee Id]:[Work Location]],13,0)</f>
        <v>Mumbai</v>
      </c>
      <c r="H66">
        <v>0</v>
      </c>
      <c r="I66">
        <f t="shared" si="12"/>
        <v>28</v>
      </c>
      <c r="J66">
        <v>0</v>
      </c>
      <c r="K66" s="13">
        <f>ROUND(VLOOKUP($B66,'CTC Breakup'!$B$2:$O$51,7,0)/28*$I66,0)</f>
        <v>25000</v>
      </c>
      <c r="L66" s="13">
        <f>ROUND(VLOOKUP($B66,'CTC Breakup'!$B$2:$O$51,8,0)/28*$I66,0)</f>
        <v>10000</v>
      </c>
      <c r="M66" s="13">
        <f>ROUND(VLOOKUP($B66,'CTC Breakup'!$B$2:$O$51,9,0)/28*$I66,0)</f>
        <v>12000</v>
      </c>
      <c r="N66" s="13">
        <f>ROUND(VLOOKUP($B66,'CTC Breakup'!$B$2:$O$51,10,0)/28*$I66,0)</f>
        <v>0</v>
      </c>
      <c r="O66" s="13">
        <f>ROUND(VLOOKUP($B66,'CTC Breakup'!$B$2:$O$51,11,0)/28*$I66,0)</f>
        <v>0</v>
      </c>
      <c r="P66" s="13">
        <f>ROUND(((VLOOKUP($B66,'CTC Breakup'!$B$2:$N$51,13,0)-VLOOKUP($B66,'CTC Breakup'!$B$2:$N$51,12,0))/22/9)*$J66,0)</f>
        <v>0</v>
      </c>
      <c r="Q66" s="13">
        <v>0</v>
      </c>
      <c r="R66" s="13">
        <f t="shared" si="13"/>
        <v>47000</v>
      </c>
      <c r="S66" s="13">
        <f t="shared" si="14"/>
        <v>3000</v>
      </c>
      <c r="T66" s="13">
        <f t="shared" si="15"/>
        <v>0</v>
      </c>
      <c r="U66" s="13">
        <v>0</v>
      </c>
      <c r="V66" s="13">
        <f t="shared" si="11"/>
        <v>44000</v>
      </c>
    </row>
    <row r="67" spans="1:22" x14ac:dyDescent="0.25">
      <c r="A67" s="1">
        <v>46054</v>
      </c>
      <c r="B67" t="s">
        <v>74</v>
      </c>
      <c r="C67" s="1">
        <v>45782</v>
      </c>
      <c r="D67" s="1"/>
      <c r="E67" s="1" t="s">
        <v>371</v>
      </c>
      <c r="F67" s="1" t="s">
        <v>363</v>
      </c>
      <c r="G67" s="1" t="str">
        <f>VLOOKUP(tblPayroll[[#This Row],[Employee Id]],Table1[[Employee Id]:[Work Location]],13,0)</f>
        <v>Chennai</v>
      </c>
      <c r="H67">
        <v>0</v>
      </c>
      <c r="I67">
        <f t="shared" si="12"/>
        <v>28</v>
      </c>
      <c r="J67">
        <v>0</v>
      </c>
      <c r="K67" s="13">
        <f>ROUND(VLOOKUP($B67,'CTC Breakup'!$B$2:$O$51,7,0)/28*$I67,0)</f>
        <v>19792</v>
      </c>
      <c r="L67" s="13">
        <f>ROUND(VLOOKUP($B67,'CTC Breakup'!$B$2:$O$51,8,0)/28*$I67,0)</f>
        <v>7917</v>
      </c>
      <c r="M67" s="13">
        <f>ROUND(VLOOKUP($B67,'CTC Breakup'!$B$2:$O$51,9,0)/28*$I67,0)</f>
        <v>9499</v>
      </c>
      <c r="N67" s="13">
        <f>ROUND(VLOOKUP($B67,'CTC Breakup'!$B$2:$O$51,10,0)/28*$I67,0)</f>
        <v>0</v>
      </c>
      <c r="O67" s="13">
        <f>ROUND(VLOOKUP($B67,'CTC Breakup'!$B$2:$O$51,11,0)/28*$I67,0)</f>
        <v>0</v>
      </c>
      <c r="P67" s="13">
        <f>ROUND(((VLOOKUP($B67,'CTC Breakup'!$B$2:$N$51,13,0)-VLOOKUP($B67,'CTC Breakup'!$B$2:$N$51,12,0))/22/9)*$J67,0)</f>
        <v>0</v>
      </c>
      <c r="Q67" s="13">
        <v>0</v>
      </c>
      <c r="R67" s="13">
        <f t="shared" si="13"/>
        <v>37208</v>
      </c>
      <c r="S67" s="13">
        <f t="shared" si="14"/>
        <v>2375</v>
      </c>
      <c r="T67" s="13">
        <f t="shared" si="15"/>
        <v>0</v>
      </c>
      <c r="U67" s="13">
        <v>0</v>
      </c>
      <c r="V67" s="13">
        <f t="shared" si="11"/>
        <v>34833</v>
      </c>
    </row>
    <row r="68" spans="1:22" x14ac:dyDescent="0.25">
      <c r="A68" s="1">
        <v>46054</v>
      </c>
      <c r="B68" t="s">
        <v>78</v>
      </c>
      <c r="C68" s="1">
        <v>45852</v>
      </c>
      <c r="D68" s="1"/>
      <c r="E68" s="1" t="s">
        <v>367</v>
      </c>
      <c r="F68" s="1" t="s">
        <v>397</v>
      </c>
      <c r="G68" s="1" t="str">
        <f>VLOOKUP(tblPayroll[[#This Row],[Employee Id]],Table1[[Employee Id]:[Work Location]],13,0)</f>
        <v>Mumbai</v>
      </c>
      <c r="H68">
        <v>0</v>
      </c>
      <c r="I68">
        <f t="shared" si="12"/>
        <v>28</v>
      </c>
      <c r="J68">
        <v>25</v>
      </c>
      <c r="K68" s="13">
        <f>ROUND(VLOOKUP($B68,'CTC Breakup'!$B$2:$O$51,7,0)/28*$I68,0)</f>
        <v>18750</v>
      </c>
      <c r="L68" s="13">
        <f>ROUND(VLOOKUP($B68,'CTC Breakup'!$B$2:$O$51,8,0)/28*$I68,0)</f>
        <v>7500</v>
      </c>
      <c r="M68" s="13">
        <f>ROUND(VLOOKUP($B68,'CTC Breakup'!$B$2:$O$51,9,0)/28*$I68,0)</f>
        <v>9000</v>
      </c>
      <c r="N68" s="13">
        <f>ROUND(VLOOKUP($B68,'CTC Breakup'!$B$2:$O$51,10,0)/28*$I68,0)</f>
        <v>0</v>
      </c>
      <c r="O68" s="13">
        <f>ROUND(VLOOKUP($B68,'CTC Breakup'!$B$2:$O$51,11,0)/28*$I68,0)</f>
        <v>0</v>
      </c>
      <c r="P68" s="13">
        <f>ROUND(((VLOOKUP($B68,'CTC Breakup'!$B$2:$N$51,13,0)-VLOOKUP($B68,'CTC Breakup'!$B$2:$N$51,12,0))/22/9)*$J68,0)</f>
        <v>4451</v>
      </c>
      <c r="Q68" s="13">
        <v>0</v>
      </c>
      <c r="R68" s="13">
        <f t="shared" si="13"/>
        <v>39701</v>
      </c>
      <c r="S68" s="13">
        <f t="shared" si="14"/>
        <v>2250</v>
      </c>
      <c r="T68" s="13">
        <f t="shared" si="15"/>
        <v>0</v>
      </c>
      <c r="U68" s="13">
        <v>0</v>
      </c>
      <c r="V68" s="13">
        <f t="shared" si="11"/>
        <v>37451</v>
      </c>
    </row>
    <row r="69" spans="1:22" x14ac:dyDescent="0.25">
      <c r="A69" s="1">
        <v>46054</v>
      </c>
      <c r="B69" t="s">
        <v>80</v>
      </c>
      <c r="C69" s="1">
        <v>45901</v>
      </c>
      <c r="D69" s="1"/>
      <c r="E69" s="1" t="s">
        <v>362</v>
      </c>
      <c r="F69" s="1" t="s">
        <v>354</v>
      </c>
      <c r="G69" s="1" t="str">
        <f>VLOOKUP(tblPayroll[[#This Row],[Employee Id]],Table1[[Employee Id]:[Work Location]],13,0)</f>
        <v>Kolkata</v>
      </c>
      <c r="H69">
        <v>6</v>
      </c>
      <c r="I69">
        <f t="shared" si="12"/>
        <v>22</v>
      </c>
      <c r="J69">
        <v>0</v>
      </c>
      <c r="K69" s="13">
        <f>ROUND(VLOOKUP($B69,'CTC Breakup'!$B$2:$O$51,7,0)/28*$I69,0)</f>
        <v>41741</v>
      </c>
      <c r="L69" s="13">
        <f>ROUND(VLOOKUP($B69,'CTC Breakup'!$B$2:$O$51,8,0)/28*$I69,0)</f>
        <v>16696</v>
      </c>
      <c r="M69" s="13">
        <f>ROUND(VLOOKUP($B69,'CTC Breakup'!$B$2:$O$51,9,0)/28*$I69,0)</f>
        <v>17679</v>
      </c>
      <c r="N69" s="13">
        <f>ROUND(VLOOKUP($B69,'CTC Breakup'!$B$2:$O$51,10,0)/28*$I69,0)</f>
        <v>1571</v>
      </c>
      <c r="O69" s="13">
        <f>ROUND(VLOOKUP($B69,'CTC Breakup'!$B$2:$O$51,11,0)/28*$I69,0)</f>
        <v>786</v>
      </c>
      <c r="P69" s="13">
        <f>ROUND(((VLOOKUP($B69,'CTC Breakup'!$B$2:$N$51,13,0)-VLOOKUP($B69,'CTC Breakup'!$B$2:$N$51,12,0))/22/9)*$J69,0)</f>
        <v>0</v>
      </c>
      <c r="Q69" s="13">
        <v>0</v>
      </c>
      <c r="R69" s="13">
        <f t="shared" si="13"/>
        <v>78473</v>
      </c>
      <c r="S69" s="13">
        <f t="shared" si="14"/>
        <v>5009</v>
      </c>
      <c r="T69" s="13">
        <f t="shared" si="15"/>
        <v>15695</v>
      </c>
      <c r="U69" s="13">
        <v>0</v>
      </c>
      <c r="V69" s="13">
        <f t="shared" si="11"/>
        <v>57769</v>
      </c>
    </row>
    <row r="70" spans="1:22" x14ac:dyDescent="0.25">
      <c r="A70" s="1">
        <v>46054</v>
      </c>
      <c r="B70" t="s">
        <v>82</v>
      </c>
      <c r="C70" s="1">
        <v>45908</v>
      </c>
      <c r="D70" s="1">
        <v>46077</v>
      </c>
      <c r="E70" s="1" t="s">
        <v>371</v>
      </c>
      <c r="F70" s="1" t="s">
        <v>363</v>
      </c>
      <c r="G70" s="1" t="str">
        <f>VLOOKUP(tblPayroll[[#This Row],[Employee Id]],Table1[[Employee Id]:[Work Location]],13,0)</f>
        <v>Mumbai</v>
      </c>
      <c r="H70">
        <v>0</v>
      </c>
      <c r="I70">
        <v>24</v>
      </c>
      <c r="J70">
        <v>22</v>
      </c>
      <c r="K70" s="13">
        <f>ROUND(VLOOKUP($B70,'CTC Breakup'!$B$2:$O$51,7,0)/28*$I70,0)</f>
        <v>16965</v>
      </c>
      <c r="L70" s="13">
        <f>ROUND(VLOOKUP($B70,'CTC Breakup'!$B$2:$O$51,8,0)/28*$I70,0)</f>
        <v>6786</v>
      </c>
      <c r="M70" s="13">
        <f>ROUND(VLOOKUP($B70,'CTC Breakup'!$B$2:$O$51,9,0)/28*$I70,0)</f>
        <v>8142</v>
      </c>
      <c r="N70" s="13">
        <f>ROUND(VLOOKUP($B70,'CTC Breakup'!$B$2:$O$51,10,0)/28*$I70,0)</f>
        <v>0</v>
      </c>
      <c r="O70" s="13">
        <f>ROUND(VLOOKUP($B70,'CTC Breakup'!$B$2:$O$51,11,0)/28*$I70,0)</f>
        <v>0</v>
      </c>
      <c r="P70" s="13">
        <f>ROUND(((VLOOKUP($B70,'CTC Breakup'!$B$2:$N$51,13,0)-VLOOKUP($B70,'CTC Breakup'!$B$2:$N$51,12,0))/22/9)*$J70,0)</f>
        <v>4134</v>
      </c>
      <c r="Q70" s="13">
        <v>0</v>
      </c>
      <c r="R70" s="13">
        <f t="shared" si="13"/>
        <v>36027</v>
      </c>
      <c r="S70" s="13">
        <f t="shared" si="14"/>
        <v>2036</v>
      </c>
      <c r="T70" s="13">
        <f t="shared" si="15"/>
        <v>0</v>
      </c>
      <c r="U70" s="13">
        <v>0</v>
      </c>
      <c r="V70" s="13">
        <f t="shared" si="11"/>
        <v>33991</v>
      </c>
    </row>
    <row r="71" spans="1:22" x14ac:dyDescent="0.25">
      <c r="A71" s="1">
        <v>46054</v>
      </c>
      <c r="B71" t="s">
        <v>83</v>
      </c>
      <c r="C71" s="1">
        <v>45978</v>
      </c>
      <c r="D71" s="1"/>
      <c r="E71" s="1" t="s">
        <v>365</v>
      </c>
      <c r="F71" s="1" t="s">
        <v>354</v>
      </c>
      <c r="G71" s="1" t="str">
        <f>VLOOKUP(tblPayroll[[#This Row],[Employee Id]],Table1[[Employee Id]:[Work Location]],13,0)</f>
        <v>Chennai</v>
      </c>
      <c r="H71">
        <v>8</v>
      </c>
      <c r="I71">
        <f t="shared" si="12"/>
        <v>20</v>
      </c>
      <c r="J71">
        <v>0</v>
      </c>
      <c r="K71" s="13">
        <f>ROUND(VLOOKUP($B71,'CTC Breakup'!$B$2:$O$51,7,0)/28*$I71,0)</f>
        <v>35119</v>
      </c>
      <c r="L71" s="13">
        <f>ROUND(VLOOKUP($B71,'CTC Breakup'!$B$2:$O$51,8,0)/28*$I71,0)</f>
        <v>14048</v>
      </c>
      <c r="M71" s="13">
        <f>ROUND(VLOOKUP($B71,'CTC Breakup'!$B$2:$O$51,9,0)/28*$I71,0)</f>
        <v>14714</v>
      </c>
      <c r="N71" s="13">
        <f>ROUND(VLOOKUP($B71,'CTC Breakup'!$B$2:$O$51,10,0)/28*$I71,0)</f>
        <v>1429</v>
      </c>
      <c r="O71" s="13">
        <f>ROUND(VLOOKUP($B71,'CTC Breakup'!$B$2:$O$51,11,0)/28*$I71,0)</f>
        <v>714</v>
      </c>
      <c r="P71" s="13">
        <f>ROUND(((VLOOKUP($B71,'CTC Breakup'!$B$2:$N$51,13,0)-VLOOKUP($B71,'CTC Breakup'!$B$2:$N$51,12,0))/22/9)*$J71,0)</f>
        <v>0</v>
      </c>
      <c r="Q71" s="13">
        <v>0</v>
      </c>
      <c r="R71" s="13">
        <f t="shared" si="13"/>
        <v>66024</v>
      </c>
      <c r="S71" s="13">
        <f t="shared" si="14"/>
        <v>4214</v>
      </c>
      <c r="T71" s="13">
        <f t="shared" si="15"/>
        <v>6602</v>
      </c>
      <c r="U71" s="13">
        <v>0</v>
      </c>
      <c r="V71" s="13">
        <f t="shared" si="11"/>
        <v>55208</v>
      </c>
    </row>
    <row r="72" spans="1:22" x14ac:dyDescent="0.25">
      <c r="A72" s="1">
        <v>46054</v>
      </c>
      <c r="B72" t="s">
        <v>85</v>
      </c>
      <c r="C72" s="1">
        <v>45992</v>
      </c>
      <c r="D72" s="1"/>
      <c r="E72" s="1" t="s">
        <v>381</v>
      </c>
      <c r="F72" s="1" t="s">
        <v>353</v>
      </c>
      <c r="G72" s="1" t="str">
        <f>VLOOKUP(tblPayroll[[#This Row],[Employee Id]],Table1[[Employee Id]:[Work Location]],13,0)</f>
        <v>Chennai</v>
      </c>
      <c r="H72">
        <v>0</v>
      </c>
      <c r="I72">
        <f t="shared" si="12"/>
        <v>28</v>
      </c>
      <c r="J72">
        <v>0</v>
      </c>
      <c r="K72" s="13">
        <f>ROUND(VLOOKUP($B72,'CTC Breakup'!$B$2:$O$51,7,0)/28*$I72,0)</f>
        <v>18750</v>
      </c>
      <c r="L72" s="13">
        <f>ROUND(VLOOKUP($B72,'CTC Breakup'!$B$2:$O$51,8,0)/28*$I72,0)</f>
        <v>7500</v>
      </c>
      <c r="M72" s="13">
        <f>ROUND(VLOOKUP($B72,'CTC Breakup'!$B$2:$O$51,9,0)/28*$I72,0)</f>
        <v>9000</v>
      </c>
      <c r="N72" s="13">
        <f>ROUND(VLOOKUP($B72,'CTC Breakup'!$B$2:$O$51,10,0)/28*$I72,0)</f>
        <v>0</v>
      </c>
      <c r="O72" s="13">
        <f>ROUND(VLOOKUP($B72,'CTC Breakup'!$B$2:$O$51,11,0)/28*$I72,0)</f>
        <v>0</v>
      </c>
      <c r="P72" s="13">
        <f>ROUND(((VLOOKUP($B72,'CTC Breakup'!$B$2:$N$51,13,0)-VLOOKUP($B72,'CTC Breakup'!$B$2:$N$51,12,0))/22/9)*$J72,0)</f>
        <v>0</v>
      </c>
      <c r="Q72" s="13">
        <v>6910</v>
      </c>
      <c r="R72" s="13">
        <f t="shared" si="13"/>
        <v>42160</v>
      </c>
      <c r="S72" s="13">
        <f t="shared" si="14"/>
        <v>2250</v>
      </c>
      <c r="T72" s="13">
        <f t="shared" si="15"/>
        <v>0</v>
      </c>
      <c r="U72" s="13">
        <v>0</v>
      </c>
      <c r="V72" s="13">
        <f t="shared" si="11"/>
        <v>39910</v>
      </c>
    </row>
    <row r="73" spans="1:22" x14ac:dyDescent="0.25">
      <c r="A73" s="1">
        <v>46054</v>
      </c>
      <c r="B73" t="s">
        <v>86</v>
      </c>
      <c r="C73" s="1">
        <v>46027</v>
      </c>
      <c r="D73" s="1"/>
      <c r="E73" s="1" t="s">
        <v>368</v>
      </c>
      <c r="F73" s="1" t="s">
        <v>398</v>
      </c>
      <c r="G73" s="1" t="str">
        <f>VLOOKUP(tblPayroll[[#This Row],[Employee Id]],Table1[[Employee Id]:[Work Location]],13,0)</f>
        <v>Bangalore</v>
      </c>
      <c r="H73">
        <v>0</v>
      </c>
      <c r="I73">
        <f t="shared" si="12"/>
        <v>28</v>
      </c>
      <c r="J73">
        <v>20</v>
      </c>
      <c r="K73" s="13">
        <f>ROUND(VLOOKUP($B73,'CTC Breakup'!$B$2:$O$51,7,0)/28*$I73,0)</f>
        <v>23959</v>
      </c>
      <c r="L73" s="13">
        <f>ROUND(VLOOKUP($B73,'CTC Breakup'!$B$2:$O$51,8,0)/28*$I73,0)</f>
        <v>9584</v>
      </c>
      <c r="M73" s="13">
        <f>ROUND(VLOOKUP($B73,'CTC Breakup'!$B$2:$O$51,9,0)/28*$I73,0)</f>
        <v>11499</v>
      </c>
      <c r="N73" s="13">
        <f>ROUND(VLOOKUP($B73,'CTC Breakup'!$B$2:$O$51,10,0)/28*$I73,0)</f>
        <v>0</v>
      </c>
      <c r="O73" s="13">
        <f>ROUND(VLOOKUP($B73,'CTC Breakup'!$B$2:$O$51,11,0)/28*$I73,0)</f>
        <v>0</v>
      </c>
      <c r="P73" s="13">
        <f>ROUND(((VLOOKUP($B73,'CTC Breakup'!$B$2:$N$51,13,0)-VLOOKUP($B73,'CTC Breakup'!$B$2:$N$51,12,0))/22/9)*$J73,0)</f>
        <v>4550</v>
      </c>
      <c r="Q73" s="13">
        <v>0</v>
      </c>
      <c r="R73" s="13">
        <f t="shared" si="13"/>
        <v>49592</v>
      </c>
      <c r="S73" s="13">
        <f t="shared" si="14"/>
        <v>2875</v>
      </c>
      <c r="T73" s="13">
        <f t="shared" si="15"/>
        <v>0</v>
      </c>
      <c r="U73" s="13">
        <v>0</v>
      </c>
      <c r="V73" s="13">
        <f t="shared" si="11"/>
        <v>46717</v>
      </c>
    </row>
    <row r="74" spans="1:22" x14ac:dyDescent="0.25">
      <c r="A74" s="1">
        <v>46054</v>
      </c>
      <c r="B74" t="s">
        <v>87</v>
      </c>
      <c r="C74" s="1">
        <v>46041</v>
      </c>
      <c r="D74" s="1"/>
      <c r="E74" s="1" t="s">
        <v>365</v>
      </c>
      <c r="F74" s="1" t="s">
        <v>354</v>
      </c>
      <c r="G74" s="1" t="str">
        <f>VLOOKUP(tblPayroll[[#This Row],[Employee Id]],Table1[[Employee Id]:[Work Location]],13,0)</f>
        <v>Kolkata</v>
      </c>
      <c r="H74">
        <v>0</v>
      </c>
      <c r="I74">
        <f t="shared" si="12"/>
        <v>28</v>
      </c>
      <c r="J74">
        <v>25</v>
      </c>
      <c r="K74" s="13">
        <f>ROUND(VLOOKUP($B74,'CTC Breakup'!$B$2:$O$51,7,0)/28*$I74,0)</f>
        <v>47917</v>
      </c>
      <c r="L74" s="13">
        <f>ROUND(VLOOKUP($B74,'CTC Breakup'!$B$2:$O$51,8,0)/28*$I74,0)</f>
        <v>19167</v>
      </c>
      <c r="M74" s="13">
        <f>ROUND(VLOOKUP($B74,'CTC Breakup'!$B$2:$O$51,9,0)/28*$I74,0)</f>
        <v>19999</v>
      </c>
      <c r="N74" s="13">
        <f>ROUND(VLOOKUP($B74,'CTC Breakup'!$B$2:$O$51,10,0)/28*$I74,0)</f>
        <v>2000</v>
      </c>
      <c r="O74" s="13">
        <f>ROUND(VLOOKUP($B74,'CTC Breakup'!$B$2:$O$51,11,0)/28*$I74,0)</f>
        <v>1000</v>
      </c>
      <c r="P74" s="13">
        <f>ROUND(((VLOOKUP($B74,'CTC Breakup'!$B$2:$N$51,13,0)-VLOOKUP($B74,'CTC Breakup'!$B$2:$N$51,12,0))/22/9)*$J74,0)</f>
        <v>11374</v>
      </c>
      <c r="Q74" s="13">
        <v>0</v>
      </c>
      <c r="R74" s="13">
        <f t="shared" si="13"/>
        <v>101457</v>
      </c>
      <c r="S74" s="13">
        <f t="shared" si="14"/>
        <v>5750</v>
      </c>
      <c r="T74" s="13">
        <f t="shared" si="15"/>
        <v>30437</v>
      </c>
      <c r="U74" s="13">
        <v>12400</v>
      </c>
      <c r="V74" s="13">
        <f t="shared" si="11"/>
        <v>52870</v>
      </c>
    </row>
    <row r="75" spans="1:22" x14ac:dyDescent="0.25">
      <c r="A75" s="1">
        <v>46054</v>
      </c>
      <c r="B75" t="s">
        <v>89</v>
      </c>
      <c r="C75" s="1">
        <v>46056</v>
      </c>
      <c r="D75" s="1"/>
      <c r="E75" s="1" t="s">
        <v>367</v>
      </c>
      <c r="F75" s="1" t="s">
        <v>397</v>
      </c>
      <c r="G75" s="1" t="str">
        <f>VLOOKUP(tblPayroll[[#This Row],[Employee Id]],Table1[[Employee Id]:[Work Location]],13,0)</f>
        <v>Hyderabad</v>
      </c>
      <c r="H75">
        <v>0</v>
      </c>
      <c r="I75">
        <f t="shared" si="12"/>
        <v>28</v>
      </c>
      <c r="J75">
        <v>0</v>
      </c>
      <c r="K75" s="13">
        <f>ROUND(VLOOKUP($B75,'CTC Breakup'!$B$2:$O$51,7,0)/28*$I75,0)</f>
        <v>18750</v>
      </c>
      <c r="L75" s="13">
        <f>ROUND(VLOOKUP($B75,'CTC Breakup'!$B$2:$O$51,8,0)/28*$I75,0)</f>
        <v>7500</v>
      </c>
      <c r="M75" s="13">
        <f>ROUND(VLOOKUP($B75,'CTC Breakup'!$B$2:$O$51,9,0)/28*$I75,0)</f>
        <v>9000</v>
      </c>
      <c r="N75" s="13">
        <f>ROUND(VLOOKUP($B75,'CTC Breakup'!$B$2:$O$51,10,0)/28*$I75,0)</f>
        <v>0</v>
      </c>
      <c r="O75" s="13">
        <f>ROUND(VLOOKUP($B75,'CTC Breakup'!$B$2:$O$51,11,0)/28*$I75,0)</f>
        <v>0</v>
      </c>
      <c r="P75" s="13">
        <f>ROUND(((VLOOKUP($B75,'CTC Breakup'!$B$2:$N$51,13,0)-VLOOKUP($B75,'CTC Breakup'!$B$2:$N$51,12,0))/22/9)*$J75,0)</f>
        <v>0</v>
      </c>
      <c r="Q75" s="13">
        <v>0</v>
      </c>
      <c r="R75" s="13">
        <f t="shared" si="13"/>
        <v>35250</v>
      </c>
      <c r="S75" s="13">
        <f t="shared" si="14"/>
        <v>2250</v>
      </c>
      <c r="T75" s="13">
        <f t="shared" si="15"/>
        <v>0</v>
      </c>
      <c r="U75" s="13">
        <v>0</v>
      </c>
      <c r="V75" s="13">
        <f t="shared" si="11"/>
        <v>33000</v>
      </c>
    </row>
    <row r="76" spans="1:22" x14ac:dyDescent="0.25">
      <c r="A76" s="1">
        <v>46054</v>
      </c>
      <c r="B76" t="s">
        <v>91</v>
      </c>
      <c r="C76" s="1">
        <v>46062</v>
      </c>
      <c r="D76" s="1"/>
      <c r="E76" s="1" t="s">
        <v>368</v>
      </c>
      <c r="F76" s="1" t="s">
        <v>398</v>
      </c>
      <c r="G76" s="1" t="str">
        <f>VLOOKUP(tblPayroll[[#This Row],[Employee Id]],Table1[[Employee Id]:[Work Location]],13,0)</f>
        <v>Chennai</v>
      </c>
      <c r="H76">
        <v>0</v>
      </c>
      <c r="I76">
        <f t="shared" si="12"/>
        <v>28</v>
      </c>
      <c r="J76">
        <v>0</v>
      </c>
      <c r="K76" s="13">
        <f>ROUND(VLOOKUP($B76,'CTC Breakup'!$B$2:$O$51,7,0)/28*$I76,0)</f>
        <v>23959</v>
      </c>
      <c r="L76" s="13">
        <f>ROUND(VLOOKUP($B76,'CTC Breakup'!$B$2:$O$51,8,0)/28*$I76,0)</f>
        <v>9584</v>
      </c>
      <c r="M76" s="13">
        <f>ROUND(VLOOKUP($B76,'CTC Breakup'!$B$2:$O$51,9,0)/28*$I76,0)</f>
        <v>11499</v>
      </c>
      <c r="N76" s="13">
        <f>ROUND(VLOOKUP($B76,'CTC Breakup'!$B$2:$O$51,10,0)/28*$I76,0)</f>
        <v>0</v>
      </c>
      <c r="O76" s="13">
        <f>ROUND(VLOOKUP($B76,'CTC Breakup'!$B$2:$O$51,11,0)/28*$I76,0)</f>
        <v>0</v>
      </c>
      <c r="P76" s="13">
        <f>ROUND(((VLOOKUP($B76,'CTC Breakup'!$B$2:$N$51,13,0)-VLOOKUP($B76,'CTC Breakup'!$B$2:$N$51,12,0))/22/9)*$J76,0)</f>
        <v>0</v>
      </c>
      <c r="Q76" s="13">
        <v>0</v>
      </c>
      <c r="R76" s="13">
        <f t="shared" si="13"/>
        <v>45042</v>
      </c>
      <c r="S76" s="13">
        <f t="shared" si="14"/>
        <v>2875</v>
      </c>
      <c r="T76" s="13">
        <f t="shared" si="15"/>
        <v>0</v>
      </c>
      <c r="U76" s="13">
        <v>0</v>
      </c>
      <c r="V76" s="13">
        <f t="shared" si="11"/>
        <v>42167</v>
      </c>
    </row>
    <row r="77" spans="1:22" x14ac:dyDescent="0.25">
      <c r="A77" s="1">
        <v>46054</v>
      </c>
      <c r="B77" t="s">
        <v>93</v>
      </c>
      <c r="C77" s="1">
        <v>46063</v>
      </c>
      <c r="D77" s="1"/>
      <c r="E77" s="1" t="s">
        <v>368</v>
      </c>
      <c r="F77" s="1" t="s">
        <v>398</v>
      </c>
      <c r="G77" s="1" t="str">
        <f>VLOOKUP(tblPayroll[[#This Row],[Employee Id]],Table1[[Employee Id]:[Work Location]],13,0)</f>
        <v>Bangalore</v>
      </c>
      <c r="H77">
        <v>0</v>
      </c>
      <c r="I77">
        <f t="shared" si="12"/>
        <v>28</v>
      </c>
      <c r="J77">
        <v>17</v>
      </c>
      <c r="K77" s="13">
        <f>ROUND(VLOOKUP($B77,'CTC Breakup'!$B$2:$O$51,7,0)/28*$I77,0)</f>
        <v>23959</v>
      </c>
      <c r="L77" s="13">
        <f>ROUND(VLOOKUP($B77,'CTC Breakup'!$B$2:$O$51,8,0)/28*$I77,0)</f>
        <v>9584</v>
      </c>
      <c r="M77" s="13">
        <f>ROUND(VLOOKUP($B77,'CTC Breakup'!$B$2:$O$51,9,0)/28*$I77,0)</f>
        <v>11499</v>
      </c>
      <c r="N77" s="13">
        <f>ROUND(VLOOKUP($B77,'CTC Breakup'!$B$2:$O$51,10,0)/28*$I77,0)</f>
        <v>0</v>
      </c>
      <c r="O77" s="13">
        <f>ROUND(VLOOKUP($B77,'CTC Breakup'!$B$2:$O$51,11,0)/28*$I77,0)</f>
        <v>0</v>
      </c>
      <c r="P77" s="13">
        <f>ROUND(((VLOOKUP($B77,'CTC Breakup'!$B$2:$N$51,13,0)-VLOOKUP($B77,'CTC Breakup'!$B$2:$N$51,12,0))/22/9)*$J77,0)</f>
        <v>3867</v>
      </c>
      <c r="Q77" s="13">
        <v>0</v>
      </c>
      <c r="R77" s="13">
        <f t="shared" si="13"/>
        <v>48909</v>
      </c>
      <c r="S77" s="13">
        <f t="shared" si="14"/>
        <v>2875</v>
      </c>
      <c r="T77" s="13">
        <f t="shared" si="15"/>
        <v>0</v>
      </c>
      <c r="U77" s="13">
        <v>0</v>
      </c>
      <c r="V77" s="13">
        <f t="shared" si="11"/>
        <v>46034</v>
      </c>
    </row>
    <row r="78" spans="1:22" x14ac:dyDescent="0.25">
      <c r="A78" s="1">
        <v>46082</v>
      </c>
      <c r="B78" t="s">
        <v>18</v>
      </c>
      <c r="C78" s="1">
        <v>44593</v>
      </c>
      <c r="D78" s="1"/>
      <c r="E78" s="1" t="s">
        <v>356</v>
      </c>
      <c r="F78" s="1" t="s">
        <v>398</v>
      </c>
      <c r="G78" s="1" t="str">
        <f>VLOOKUP(tblPayroll[[#This Row],[Employee Id]],Table1[[Employee Id]:[Work Location]],13,0)</f>
        <v>Bangalore</v>
      </c>
      <c r="H78">
        <v>5</v>
      </c>
      <c r="I78">
        <f>31-H78</f>
        <v>26</v>
      </c>
      <c r="J78">
        <v>0</v>
      </c>
      <c r="K78" s="13">
        <f>ROUND(VLOOKUP($B78,'CTC Breakup'!$B$2:$O$51,7,0)/31*$I78,0)</f>
        <v>64651</v>
      </c>
      <c r="L78" s="13">
        <f>ROUND(VLOOKUP($B78,'CTC Breakup'!$B$2:$O$51,8,0)/31*$I78,0)</f>
        <v>25861</v>
      </c>
      <c r="M78" s="13">
        <f>ROUND(VLOOKUP($B78,'CTC Breakup'!$B$2:$O$51,9,0)/31*$I78,0)</f>
        <v>28515</v>
      </c>
      <c r="N78" s="13">
        <f>ROUND(VLOOKUP($B78,'CTC Breakup'!$B$2:$O$51,10,0)/31*$I78,0)</f>
        <v>1677</v>
      </c>
      <c r="O78" s="13">
        <f>ROUND(VLOOKUP($B78,'CTC Breakup'!$B$2:$O$51,11,0)/31*$I78,0)</f>
        <v>839</v>
      </c>
      <c r="P78" s="13">
        <f>ROUND(((VLOOKUP($B78,'CTC Breakup'!$B$2:$N$51,13,0)-VLOOKUP($B78,'CTC Breakup'!$B$2:$N$51,12,0))/22/9)*$J78,0)</f>
        <v>0</v>
      </c>
      <c r="Q78" s="13">
        <v>0</v>
      </c>
      <c r="R78" s="13">
        <f t="shared" ref="R78:R117" si="16">SUM(K78:Q78)</f>
        <v>121543</v>
      </c>
      <c r="S78" s="13">
        <f t="shared" ref="S78:S117" si="17">ROUND(K78*12%,0)</f>
        <v>7758</v>
      </c>
      <c r="T78" s="13">
        <f t="shared" ref="T78:T117" si="18">ROUND(IF(R78&gt;100000,R78*30%,IF(R78&gt;75000,R78*20%,IF(R78&gt;50000,R78*10%,0))),0)</f>
        <v>36463</v>
      </c>
      <c r="U78" s="13">
        <v>0</v>
      </c>
      <c r="V78" s="13">
        <f t="shared" si="11"/>
        <v>77322</v>
      </c>
    </row>
    <row r="79" spans="1:22" x14ac:dyDescent="0.25">
      <c r="A79" s="1">
        <v>46082</v>
      </c>
      <c r="B79" t="s">
        <v>24</v>
      </c>
      <c r="C79" s="1">
        <v>44613</v>
      </c>
      <c r="D79" s="1"/>
      <c r="E79" s="1" t="s">
        <v>355</v>
      </c>
      <c r="F79" s="1" t="s">
        <v>354</v>
      </c>
      <c r="G79" s="1" t="str">
        <f>VLOOKUP(tblPayroll[[#This Row],[Employee Id]],Table1[[Employee Id]:[Work Location]],13,0)</f>
        <v>Chennai</v>
      </c>
      <c r="H79">
        <v>0</v>
      </c>
      <c r="I79">
        <f t="shared" ref="I79:I117" si="19">31-H79</f>
        <v>31</v>
      </c>
      <c r="J79">
        <v>0</v>
      </c>
      <c r="K79" s="13">
        <f>ROUND(VLOOKUP($B79,'CTC Breakup'!$B$2:$O$51,7,0)/31*$I79,0)</f>
        <v>104167</v>
      </c>
      <c r="L79" s="13">
        <f>ROUND(VLOOKUP($B79,'CTC Breakup'!$B$2:$O$51,8,0)/31*$I79,0)</f>
        <v>41667</v>
      </c>
      <c r="M79" s="13">
        <f>ROUND(VLOOKUP($B79,'CTC Breakup'!$B$2:$O$51,9,0)/31*$I79,0)</f>
        <v>49999</v>
      </c>
      <c r="N79" s="13">
        <f>ROUND(VLOOKUP($B79,'CTC Breakup'!$B$2:$O$51,10,0)/31*$I79,0)</f>
        <v>0</v>
      </c>
      <c r="O79" s="13">
        <f>ROUND(VLOOKUP($B79,'CTC Breakup'!$B$2:$O$51,11,0)/31*$I79,0)</f>
        <v>0</v>
      </c>
      <c r="P79" s="13">
        <f>ROUND(((VLOOKUP($B79,'CTC Breakup'!$B$2:$N$51,13,0)-VLOOKUP($B79,'CTC Breakup'!$B$2:$N$51,12,0))/22/9)*$J79,0)</f>
        <v>0</v>
      </c>
      <c r="Q79" s="13">
        <v>0</v>
      </c>
      <c r="R79" s="13">
        <f t="shared" si="16"/>
        <v>195833</v>
      </c>
      <c r="S79" s="13">
        <f t="shared" si="17"/>
        <v>12500</v>
      </c>
      <c r="T79" s="13">
        <f t="shared" si="18"/>
        <v>58750</v>
      </c>
      <c r="U79" s="13">
        <v>0</v>
      </c>
      <c r="V79" s="13">
        <f t="shared" si="11"/>
        <v>124583</v>
      </c>
    </row>
    <row r="80" spans="1:22" x14ac:dyDescent="0.25">
      <c r="A80" s="1">
        <v>46082</v>
      </c>
      <c r="B80" t="s">
        <v>28</v>
      </c>
      <c r="C80" s="1">
        <v>44634</v>
      </c>
      <c r="D80" s="1"/>
      <c r="E80" s="1" t="s">
        <v>356</v>
      </c>
      <c r="F80" s="1" t="s">
        <v>398</v>
      </c>
      <c r="G80" s="1" t="str">
        <f>VLOOKUP(tblPayroll[[#This Row],[Employee Id]],Table1[[Employee Id]:[Work Location]],13,0)</f>
        <v>Bangalore</v>
      </c>
      <c r="H80">
        <v>9</v>
      </c>
      <c r="I80">
        <f t="shared" si="19"/>
        <v>22</v>
      </c>
      <c r="J80">
        <v>18</v>
      </c>
      <c r="K80" s="13">
        <f>ROUND(VLOOKUP($B80,'CTC Breakup'!$B$2:$O$51,7,0)/31*$I80,0)</f>
        <v>51748</v>
      </c>
      <c r="L80" s="13">
        <f>ROUND(VLOOKUP($B80,'CTC Breakup'!$B$2:$O$51,8,0)/31*$I80,0)</f>
        <v>20699</v>
      </c>
      <c r="M80" s="13">
        <f>ROUND(VLOOKUP($B80,'CTC Breakup'!$B$2:$O$51,9,0)/31*$I80,0)</f>
        <v>22709</v>
      </c>
      <c r="N80" s="13">
        <f>ROUND(VLOOKUP($B80,'CTC Breakup'!$B$2:$O$51,10,0)/31*$I80,0)</f>
        <v>1419</v>
      </c>
      <c r="O80" s="13">
        <f>ROUND(VLOOKUP($B80,'CTC Breakup'!$B$2:$O$51,11,0)/31*$I80,0)</f>
        <v>710</v>
      </c>
      <c r="P80" s="13">
        <f>ROUND(((VLOOKUP($B80,'CTC Breakup'!$B$2:$N$51,13,0)-VLOOKUP($B80,'CTC Breakup'!$B$2:$N$51,12,0))/22/9)*$J80,0)</f>
        <v>12462</v>
      </c>
      <c r="Q80" s="13">
        <v>0</v>
      </c>
      <c r="R80" s="13">
        <f t="shared" si="16"/>
        <v>109747</v>
      </c>
      <c r="S80" s="13">
        <f t="shared" si="17"/>
        <v>6210</v>
      </c>
      <c r="T80" s="13">
        <f t="shared" si="18"/>
        <v>32924</v>
      </c>
      <c r="U80" s="13">
        <v>0</v>
      </c>
      <c r="V80" s="13">
        <f t="shared" si="11"/>
        <v>70613</v>
      </c>
    </row>
    <row r="81" spans="1:22" x14ac:dyDescent="0.25">
      <c r="A81" s="1">
        <v>46082</v>
      </c>
      <c r="B81" t="s">
        <v>34</v>
      </c>
      <c r="C81" s="1">
        <v>44697</v>
      </c>
      <c r="D81" s="1"/>
      <c r="E81" s="1" t="s">
        <v>360</v>
      </c>
      <c r="F81" s="1" t="s">
        <v>363</v>
      </c>
      <c r="G81" s="1" t="str">
        <f>VLOOKUP(tblPayroll[[#This Row],[Employee Id]],Table1[[Employee Id]:[Work Location]],13,0)</f>
        <v>Chennai</v>
      </c>
      <c r="H81">
        <v>9</v>
      </c>
      <c r="I81">
        <f t="shared" si="19"/>
        <v>22</v>
      </c>
      <c r="J81">
        <v>19</v>
      </c>
      <c r="K81" s="13">
        <f>ROUND(VLOOKUP($B81,'CTC Breakup'!$B$2:$O$51,7,0)/31*$I81,0)</f>
        <v>50269</v>
      </c>
      <c r="L81" s="13">
        <f>ROUND(VLOOKUP($B81,'CTC Breakup'!$B$2:$O$51,8,0)/31*$I81,0)</f>
        <v>20108</v>
      </c>
      <c r="M81" s="13">
        <f>ROUND(VLOOKUP($B81,'CTC Breakup'!$B$2:$O$51,9,0)/31*$I81,0)</f>
        <v>21999</v>
      </c>
      <c r="N81" s="13">
        <f>ROUND(VLOOKUP($B81,'CTC Breakup'!$B$2:$O$51,10,0)/31*$I81,0)</f>
        <v>1419</v>
      </c>
      <c r="O81" s="13">
        <f>ROUND(VLOOKUP($B81,'CTC Breakup'!$B$2:$O$51,11,0)/31*$I81,0)</f>
        <v>710</v>
      </c>
      <c r="P81" s="13">
        <f>ROUND(((VLOOKUP($B81,'CTC Breakup'!$B$2:$N$51,13,0)-VLOOKUP($B81,'CTC Breakup'!$B$2:$N$51,12,0))/22/9)*$J81,0)</f>
        <v>12779</v>
      </c>
      <c r="Q81" s="13">
        <v>0</v>
      </c>
      <c r="R81" s="13">
        <f t="shared" si="16"/>
        <v>107284</v>
      </c>
      <c r="S81" s="13">
        <f t="shared" si="17"/>
        <v>6032</v>
      </c>
      <c r="T81" s="13">
        <f t="shared" si="18"/>
        <v>32185</v>
      </c>
      <c r="U81" s="13">
        <v>0</v>
      </c>
      <c r="V81" s="13">
        <f t="shared" si="11"/>
        <v>69067</v>
      </c>
    </row>
    <row r="82" spans="1:22" x14ac:dyDescent="0.25">
      <c r="A82" s="1">
        <v>46082</v>
      </c>
      <c r="B82" t="s">
        <v>35</v>
      </c>
      <c r="C82" s="1">
        <v>44704</v>
      </c>
      <c r="D82" s="1"/>
      <c r="E82" s="1" t="s">
        <v>369</v>
      </c>
      <c r="F82" s="1" t="s">
        <v>363</v>
      </c>
      <c r="G82" s="1" t="str">
        <f>VLOOKUP(tblPayroll[[#This Row],[Employee Id]],Table1[[Employee Id]:[Work Location]],13,0)</f>
        <v>Mumbai</v>
      </c>
      <c r="H82">
        <v>0</v>
      </c>
      <c r="I82">
        <f t="shared" si="19"/>
        <v>31</v>
      </c>
      <c r="J82">
        <v>0</v>
      </c>
      <c r="K82" s="13">
        <f>ROUND(VLOOKUP($B82,'CTC Breakup'!$B$2:$O$51,7,0)/31*$I82,0)</f>
        <v>41667</v>
      </c>
      <c r="L82" s="13">
        <f>ROUND(VLOOKUP($B82,'CTC Breakup'!$B$2:$O$51,8,0)/31*$I82,0)</f>
        <v>16667</v>
      </c>
      <c r="M82" s="13">
        <f>ROUND(VLOOKUP($B82,'CTC Breakup'!$B$2:$O$51,9,0)/31*$I82,0)</f>
        <v>16999</v>
      </c>
      <c r="N82" s="13">
        <f>ROUND(VLOOKUP($B82,'CTC Breakup'!$B$2:$O$51,10,0)/31*$I82,0)</f>
        <v>2000</v>
      </c>
      <c r="O82" s="13">
        <f>ROUND(VLOOKUP($B82,'CTC Breakup'!$B$2:$O$51,11,0)/31*$I82,0)</f>
        <v>1000</v>
      </c>
      <c r="P82" s="13">
        <f>ROUND(((VLOOKUP($B82,'CTC Breakup'!$B$2:$N$51,13,0)-VLOOKUP($B82,'CTC Breakup'!$B$2:$N$51,12,0))/22/9)*$J82,0)</f>
        <v>0</v>
      </c>
      <c r="Q82" s="13">
        <v>0</v>
      </c>
      <c r="R82" s="13">
        <f t="shared" si="16"/>
        <v>78333</v>
      </c>
      <c r="S82" s="13">
        <f t="shared" si="17"/>
        <v>5000</v>
      </c>
      <c r="T82" s="13">
        <f t="shared" si="18"/>
        <v>15667</v>
      </c>
      <c r="U82" s="13">
        <v>13300</v>
      </c>
      <c r="V82" s="13">
        <f t="shared" si="11"/>
        <v>44366</v>
      </c>
    </row>
    <row r="83" spans="1:22" x14ac:dyDescent="0.25">
      <c r="A83" s="1">
        <v>46082</v>
      </c>
      <c r="B83" t="s">
        <v>37</v>
      </c>
      <c r="C83" s="1">
        <v>44886</v>
      </c>
      <c r="D83" s="1"/>
      <c r="E83" s="1" t="s">
        <v>361</v>
      </c>
      <c r="F83" s="1" t="s">
        <v>353</v>
      </c>
      <c r="G83" s="1" t="str">
        <f>VLOOKUP(tblPayroll[[#This Row],[Employee Id]],Table1[[Employee Id]:[Work Location]],13,0)</f>
        <v>Kolkata</v>
      </c>
      <c r="H83">
        <v>0</v>
      </c>
      <c r="I83">
        <f t="shared" si="19"/>
        <v>31</v>
      </c>
      <c r="J83">
        <v>0</v>
      </c>
      <c r="K83" s="13">
        <f>ROUND(VLOOKUP($B83,'CTC Breakup'!$B$2:$O$51,7,0)/31*$I83,0)</f>
        <v>87500</v>
      </c>
      <c r="L83" s="13">
        <f>ROUND(VLOOKUP($B83,'CTC Breakup'!$B$2:$O$51,8,0)/31*$I83,0)</f>
        <v>35000</v>
      </c>
      <c r="M83" s="13">
        <f>ROUND(VLOOKUP($B83,'CTC Breakup'!$B$2:$O$51,9,0)/31*$I83,0)</f>
        <v>39000</v>
      </c>
      <c r="N83" s="13">
        <f>ROUND(VLOOKUP($B83,'CTC Breakup'!$B$2:$O$51,10,0)/31*$I83,0)</f>
        <v>2000</v>
      </c>
      <c r="O83" s="13">
        <f>ROUND(VLOOKUP($B83,'CTC Breakup'!$B$2:$O$51,11,0)/31*$I83,0)</f>
        <v>1000</v>
      </c>
      <c r="P83" s="13">
        <f>ROUND(((VLOOKUP($B83,'CTC Breakup'!$B$2:$N$51,13,0)-VLOOKUP($B83,'CTC Breakup'!$B$2:$N$51,12,0))/22/9)*$J83,0)</f>
        <v>0</v>
      </c>
      <c r="Q83" s="13">
        <v>38500</v>
      </c>
      <c r="R83" s="13">
        <f t="shared" si="16"/>
        <v>203000</v>
      </c>
      <c r="S83" s="13">
        <f t="shared" si="17"/>
        <v>10500</v>
      </c>
      <c r="T83" s="13">
        <f t="shared" si="18"/>
        <v>60900</v>
      </c>
      <c r="U83" s="13">
        <v>0</v>
      </c>
      <c r="V83" s="13">
        <f t="shared" si="11"/>
        <v>131600</v>
      </c>
    </row>
    <row r="84" spans="1:22" x14ac:dyDescent="0.25">
      <c r="A84" s="1">
        <v>46082</v>
      </c>
      <c r="B84" t="s">
        <v>38</v>
      </c>
      <c r="C84" s="1">
        <v>44893</v>
      </c>
      <c r="D84" s="1"/>
      <c r="E84" s="1" t="s">
        <v>373</v>
      </c>
      <c r="F84" s="1" t="s">
        <v>353</v>
      </c>
      <c r="G84" s="1" t="str">
        <f>VLOOKUP(tblPayroll[[#This Row],[Employee Id]],Table1[[Employee Id]:[Work Location]],13,0)</f>
        <v>Hyderabad</v>
      </c>
      <c r="H84">
        <v>0</v>
      </c>
      <c r="I84">
        <f t="shared" si="19"/>
        <v>31</v>
      </c>
      <c r="J84">
        <v>19</v>
      </c>
      <c r="K84" s="13">
        <f>ROUND(VLOOKUP($B84,'CTC Breakup'!$B$2:$O$51,7,0)/31*$I84,0)</f>
        <v>75000</v>
      </c>
      <c r="L84" s="13">
        <f>ROUND(VLOOKUP($B84,'CTC Breakup'!$B$2:$O$51,8,0)/31*$I84,0)</f>
        <v>30000</v>
      </c>
      <c r="M84" s="13">
        <f>ROUND(VLOOKUP($B84,'CTC Breakup'!$B$2:$O$51,9,0)/31*$I84,0)</f>
        <v>33000</v>
      </c>
      <c r="N84" s="13">
        <f>ROUND(VLOOKUP($B84,'CTC Breakup'!$B$2:$O$51,10,0)/31*$I84,0)</f>
        <v>2000</v>
      </c>
      <c r="O84" s="13">
        <f>ROUND(VLOOKUP($B84,'CTC Breakup'!$B$2:$O$51,11,0)/31*$I84,0)</f>
        <v>1000</v>
      </c>
      <c r="P84" s="13">
        <f>ROUND(((VLOOKUP($B84,'CTC Breakup'!$B$2:$N$51,13,0)-VLOOKUP($B84,'CTC Breakup'!$B$2:$N$51,12,0))/22/9)*$J84,0)</f>
        <v>13530</v>
      </c>
      <c r="Q84" s="13">
        <v>32190</v>
      </c>
      <c r="R84" s="13">
        <f t="shared" si="16"/>
        <v>186720</v>
      </c>
      <c r="S84" s="13">
        <f t="shared" si="17"/>
        <v>9000</v>
      </c>
      <c r="T84" s="13">
        <f t="shared" si="18"/>
        <v>56016</v>
      </c>
      <c r="U84" s="13">
        <v>0</v>
      </c>
      <c r="V84" s="13">
        <f t="shared" si="11"/>
        <v>121704</v>
      </c>
    </row>
    <row r="85" spans="1:22" x14ac:dyDescent="0.25">
      <c r="A85" s="1">
        <v>46082</v>
      </c>
      <c r="B85" t="s">
        <v>40</v>
      </c>
      <c r="C85" s="1">
        <v>44907</v>
      </c>
      <c r="D85" s="1"/>
      <c r="E85" s="1" t="s">
        <v>358</v>
      </c>
      <c r="F85" s="1" t="s">
        <v>397</v>
      </c>
      <c r="G85" s="1" t="str">
        <f>VLOOKUP(tblPayroll[[#This Row],[Employee Id]],Table1[[Employee Id]:[Work Location]],13,0)</f>
        <v>Mumbai</v>
      </c>
      <c r="H85">
        <v>10</v>
      </c>
      <c r="I85">
        <f t="shared" si="19"/>
        <v>21</v>
      </c>
      <c r="J85">
        <v>19</v>
      </c>
      <c r="K85" s="13">
        <f>ROUND(VLOOKUP($B85,'CTC Breakup'!$B$2:$O$51,7,0)/31*$I85,0)</f>
        <v>49395</v>
      </c>
      <c r="L85" s="13">
        <f>ROUND(VLOOKUP($B85,'CTC Breakup'!$B$2:$O$51,8,0)/31*$I85,0)</f>
        <v>19758</v>
      </c>
      <c r="M85" s="13">
        <f>ROUND(VLOOKUP($B85,'CTC Breakup'!$B$2:$O$51,9,0)/31*$I85,0)</f>
        <v>21677</v>
      </c>
      <c r="N85" s="13">
        <f>ROUND(VLOOKUP($B85,'CTC Breakup'!$B$2:$O$51,10,0)/31*$I85,0)</f>
        <v>1355</v>
      </c>
      <c r="O85" s="13">
        <f>ROUND(VLOOKUP($B85,'CTC Breakup'!$B$2:$O$51,11,0)/31*$I85,0)</f>
        <v>677</v>
      </c>
      <c r="P85" s="13">
        <f>ROUND(((VLOOKUP($B85,'CTC Breakup'!$B$2:$N$51,13,0)-VLOOKUP($B85,'CTC Breakup'!$B$2:$N$51,12,0))/22/9)*$J85,0)</f>
        <v>13154</v>
      </c>
      <c r="Q85" s="13">
        <v>0</v>
      </c>
      <c r="R85" s="13">
        <f t="shared" si="16"/>
        <v>106016</v>
      </c>
      <c r="S85" s="13">
        <f t="shared" si="17"/>
        <v>5927</v>
      </c>
      <c r="T85" s="13">
        <f t="shared" si="18"/>
        <v>31805</v>
      </c>
      <c r="U85" s="13">
        <v>0</v>
      </c>
      <c r="V85" s="13">
        <f t="shared" si="11"/>
        <v>68284</v>
      </c>
    </row>
    <row r="86" spans="1:22" x14ac:dyDescent="0.25">
      <c r="A86" s="1">
        <v>46082</v>
      </c>
      <c r="B86" t="s">
        <v>43</v>
      </c>
      <c r="C86" s="1">
        <v>44956</v>
      </c>
      <c r="D86" s="1"/>
      <c r="E86" s="1" t="s">
        <v>382</v>
      </c>
      <c r="F86" s="1" t="s">
        <v>353</v>
      </c>
      <c r="G86" s="1" t="str">
        <f>VLOOKUP(tblPayroll[[#This Row],[Employee Id]],Table1[[Employee Id]:[Work Location]],13,0)</f>
        <v>Chennai</v>
      </c>
      <c r="H86">
        <v>6</v>
      </c>
      <c r="I86">
        <f t="shared" si="19"/>
        <v>25</v>
      </c>
      <c r="J86">
        <v>0</v>
      </c>
      <c r="K86" s="13">
        <f>ROUND(VLOOKUP($B86,'CTC Breakup'!$B$2:$O$51,7,0)/31*$I86,0)</f>
        <v>38643</v>
      </c>
      <c r="L86" s="13">
        <f>ROUND(VLOOKUP($B86,'CTC Breakup'!$B$2:$O$51,8,0)/31*$I86,0)</f>
        <v>15457</v>
      </c>
      <c r="M86" s="13">
        <f>ROUND(VLOOKUP($B86,'CTC Breakup'!$B$2:$O$51,9,0)/31*$I86,0)</f>
        <v>16128</v>
      </c>
      <c r="N86" s="13">
        <f>ROUND(VLOOKUP($B86,'CTC Breakup'!$B$2:$O$51,10,0)/31*$I86,0)</f>
        <v>1613</v>
      </c>
      <c r="O86" s="13">
        <f>ROUND(VLOOKUP($B86,'CTC Breakup'!$B$2:$O$51,11,0)/31*$I86,0)</f>
        <v>806</v>
      </c>
      <c r="P86" s="13">
        <f>ROUND(((VLOOKUP($B86,'CTC Breakup'!$B$2:$N$51,13,0)-VLOOKUP($B86,'CTC Breakup'!$B$2:$N$51,12,0))/22/9)*$J86,0)</f>
        <v>0</v>
      </c>
      <c r="Q86" s="13">
        <v>27600</v>
      </c>
      <c r="R86" s="13">
        <f t="shared" si="16"/>
        <v>100247</v>
      </c>
      <c r="S86" s="13">
        <f t="shared" si="17"/>
        <v>4637</v>
      </c>
      <c r="T86" s="13">
        <f t="shared" si="18"/>
        <v>30074</v>
      </c>
      <c r="U86" s="13">
        <v>0</v>
      </c>
      <c r="V86" s="13">
        <f t="shared" si="11"/>
        <v>65536</v>
      </c>
    </row>
    <row r="87" spans="1:22" x14ac:dyDescent="0.25">
      <c r="A87" s="1">
        <v>46082</v>
      </c>
      <c r="B87" t="s">
        <v>45</v>
      </c>
      <c r="C87" s="1">
        <v>44963</v>
      </c>
      <c r="D87" s="1"/>
      <c r="E87" s="1" t="s">
        <v>357</v>
      </c>
      <c r="F87" s="1" t="s">
        <v>354</v>
      </c>
      <c r="G87" s="1" t="str">
        <f>VLOOKUP(tblPayroll[[#This Row],[Employee Id]],Table1[[Employee Id]:[Work Location]],13,0)</f>
        <v>Bangalore</v>
      </c>
      <c r="H87">
        <v>0</v>
      </c>
      <c r="I87">
        <f t="shared" si="19"/>
        <v>31</v>
      </c>
      <c r="J87">
        <v>0</v>
      </c>
      <c r="K87" s="13">
        <f>ROUND(VLOOKUP($B87,'CTC Breakup'!$B$2:$O$51,7,0)/31*$I87,0)</f>
        <v>64584</v>
      </c>
      <c r="L87" s="13">
        <f>ROUND(VLOOKUP($B87,'CTC Breakup'!$B$2:$O$51,8,0)/31*$I87,0)</f>
        <v>25834</v>
      </c>
      <c r="M87" s="13">
        <f>ROUND(VLOOKUP($B87,'CTC Breakup'!$B$2:$O$51,9,0)/31*$I87,0)</f>
        <v>27999</v>
      </c>
      <c r="N87" s="13">
        <f>ROUND(VLOOKUP($B87,'CTC Breakup'!$B$2:$O$51,10,0)/31*$I87,0)</f>
        <v>2000</v>
      </c>
      <c r="O87" s="13">
        <f>ROUND(VLOOKUP($B87,'CTC Breakup'!$B$2:$O$51,11,0)/31*$I87,0)</f>
        <v>1000</v>
      </c>
      <c r="P87" s="13">
        <f>ROUND(((VLOOKUP($B87,'CTC Breakup'!$B$2:$N$51,13,0)-VLOOKUP($B87,'CTC Breakup'!$B$2:$N$51,12,0))/22/9)*$J87,0)</f>
        <v>0</v>
      </c>
      <c r="Q87" s="13">
        <v>0</v>
      </c>
      <c r="R87" s="13">
        <f t="shared" si="16"/>
        <v>121417</v>
      </c>
      <c r="S87" s="13">
        <f t="shared" si="17"/>
        <v>7750</v>
      </c>
      <c r="T87" s="13">
        <f t="shared" si="18"/>
        <v>36425</v>
      </c>
      <c r="U87" s="13">
        <v>0</v>
      </c>
      <c r="V87" s="13">
        <f t="shared" si="11"/>
        <v>77242</v>
      </c>
    </row>
    <row r="88" spans="1:22" x14ac:dyDescent="0.25">
      <c r="A88" s="1">
        <v>46082</v>
      </c>
      <c r="B88" t="s">
        <v>48</v>
      </c>
      <c r="C88" s="1">
        <v>45033</v>
      </c>
      <c r="D88" s="1"/>
      <c r="E88" s="1" t="s">
        <v>357</v>
      </c>
      <c r="F88" s="1" t="s">
        <v>354</v>
      </c>
      <c r="G88" s="1" t="str">
        <f>VLOOKUP(tblPayroll[[#This Row],[Employee Id]],Table1[[Employee Id]:[Work Location]],13,0)</f>
        <v>Hyderabad</v>
      </c>
      <c r="H88">
        <v>0</v>
      </c>
      <c r="I88">
        <f t="shared" si="19"/>
        <v>31</v>
      </c>
      <c r="J88">
        <v>0</v>
      </c>
      <c r="K88" s="13">
        <f>ROUND(VLOOKUP($B88,'CTC Breakup'!$B$2:$O$51,7,0)/31*$I88,0)</f>
        <v>61459</v>
      </c>
      <c r="L88" s="13">
        <f>ROUND(VLOOKUP($B88,'CTC Breakup'!$B$2:$O$51,8,0)/31*$I88,0)</f>
        <v>24584</v>
      </c>
      <c r="M88" s="13">
        <f>ROUND(VLOOKUP($B88,'CTC Breakup'!$B$2:$O$51,9,0)/31*$I88,0)</f>
        <v>26499</v>
      </c>
      <c r="N88" s="13">
        <f>ROUND(VLOOKUP($B88,'CTC Breakup'!$B$2:$O$51,10,0)/31*$I88,0)</f>
        <v>2000</v>
      </c>
      <c r="O88" s="13">
        <f>ROUND(VLOOKUP($B88,'CTC Breakup'!$B$2:$O$51,11,0)/31*$I88,0)</f>
        <v>1000</v>
      </c>
      <c r="P88" s="13">
        <f>ROUND(((VLOOKUP($B88,'CTC Breakup'!$B$2:$N$51,13,0)-VLOOKUP($B88,'CTC Breakup'!$B$2:$N$51,12,0))/22/9)*$J88,0)</f>
        <v>0</v>
      </c>
      <c r="Q88" s="13">
        <v>0</v>
      </c>
      <c r="R88" s="13">
        <f t="shared" si="16"/>
        <v>115542</v>
      </c>
      <c r="S88" s="13">
        <f t="shared" si="17"/>
        <v>7375</v>
      </c>
      <c r="T88" s="13">
        <f t="shared" si="18"/>
        <v>34663</v>
      </c>
      <c r="U88" s="13">
        <v>0</v>
      </c>
      <c r="V88" s="13">
        <f t="shared" si="11"/>
        <v>73504</v>
      </c>
    </row>
    <row r="89" spans="1:22" x14ac:dyDescent="0.25">
      <c r="A89" s="1">
        <v>46082</v>
      </c>
      <c r="B89" t="s">
        <v>49</v>
      </c>
      <c r="C89" s="1">
        <v>45040</v>
      </c>
      <c r="D89" s="1"/>
      <c r="E89" s="1" t="s">
        <v>357</v>
      </c>
      <c r="F89" s="1" t="s">
        <v>354</v>
      </c>
      <c r="G89" s="1" t="str">
        <f>VLOOKUP(tblPayroll[[#This Row],[Employee Id]],Table1[[Employee Id]:[Work Location]],13,0)</f>
        <v>Bangalore</v>
      </c>
      <c r="H89">
        <v>10</v>
      </c>
      <c r="I89">
        <f t="shared" si="19"/>
        <v>21</v>
      </c>
      <c r="J89">
        <v>0</v>
      </c>
      <c r="K89" s="13">
        <f>ROUND(VLOOKUP($B89,'CTC Breakup'!$B$2:$O$51,7,0)/31*$I89,0)</f>
        <v>52923</v>
      </c>
      <c r="L89" s="13">
        <f>ROUND(VLOOKUP($B89,'CTC Breakup'!$B$2:$O$51,8,0)/31*$I89,0)</f>
        <v>21169</v>
      </c>
      <c r="M89" s="13">
        <f>ROUND(VLOOKUP($B89,'CTC Breakup'!$B$2:$O$51,9,0)/31*$I89,0)</f>
        <v>23371</v>
      </c>
      <c r="N89" s="13">
        <f>ROUND(VLOOKUP($B89,'CTC Breakup'!$B$2:$O$51,10,0)/31*$I89,0)</f>
        <v>1355</v>
      </c>
      <c r="O89" s="13">
        <f>ROUND(VLOOKUP($B89,'CTC Breakup'!$B$2:$O$51,11,0)/31*$I89,0)</f>
        <v>677</v>
      </c>
      <c r="P89" s="13">
        <f>ROUND(((VLOOKUP($B89,'CTC Breakup'!$B$2:$N$51,13,0)-VLOOKUP($B89,'CTC Breakup'!$B$2:$N$51,12,0))/22/9)*$J89,0)</f>
        <v>0</v>
      </c>
      <c r="Q89" s="13">
        <v>0</v>
      </c>
      <c r="R89" s="13">
        <f t="shared" si="16"/>
        <v>99495</v>
      </c>
      <c r="S89" s="13">
        <f t="shared" si="17"/>
        <v>6351</v>
      </c>
      <c r="T89" s="13">
        <f t="shared" si="18"/>
        <v>19899</v>
      </c>
      <c r="U89" s="13">
        <v>0</v>
      </c>
      <c r="V89" s="13">
        <f t="shared" si="11"/>
        <v>73245</v>
      </c>
    </row>
    <row r="90" spans="1:22" x14ac:dyDescent="0.25">
      <c r="A90" s="1">
        <v>46082</v>
      </c>
      <c r="B90" t="s">
        <v>51</v>
      </c>
      <c r="C90" s="1">
        <v>45075</v>
      </c>
      <c r="D90" s="1"/>
      <c r="E90" s="1" t="s">
        <v>380</v>
      </c>
      <c r="F90" s="1" t="s">
        <v>397</v>
      </c>
      <c r="G90" s="1" t="str">
        <f>VLOOKUP(tblPayroll[[#This Row],[Employee Id]],Table1[[Employee Id]:[Work Location]],13,0)</f>
        <v>Bangalore</v>
      </c>
      <c r="H90">
        <v>0</v>
      </c>
      <c r="I90">
        <f t="shared" si="19"/>
        <v>31</v>
      </c>
      <c r="J90">
        <v>17</v>
      </c>
      <c r="K90" s="13">
        <f>ROUND(VLOOKUP($B90,'CTC Breakup'!$B$2:$O$51,7,0)/31*$I90,0)</f>
        <v>46875</v>
      </c>
      <c r="L90" s="13">
        <f>ROUND(VLOOKUP($B90,'CTC Breakup'!$B$2:$O$51,8,0)/31*$I90,0)</f>
        <v>18750</v>
      </c>
      <c r="M90" s="13">
        <f>ROUND(VLOOKUP($B90,'CTC Breakup'!$B$2:$O$51,9,0)/31*$I90,0)</f>
        <v>19500</v>
      </c>
      <c r="N90" s="13">
        <f>ROUND(VLOOKUP($B90,'CTC Breakup'!$B$2:$O$51,10,0)/31*$I90,0)</f>
        <v>2000</v>
      </c>
      <c r="O90" s="13">
        <f>ROUND(VLOOKUP($B90,'CTC Breakup'!$B$2:$O$51,11,0)/31*$I90,0)</f>
        <v>1000</v>
      </c>
      <c r="P90" s="13">
        <f>ROUND(((VLOOKUP($B90,'CTC Breakup'!$B$2:$N$51,13,0)-VLOOKUP($B90,'CTC Breakup'!$B$2:$N$51,12,0))/22/9)*$J90,0)</f>
        <v>7566</v>
      </c>
      <c r="Q90" s="13">
        <v>0</v>
      </c>
      <c r="R90" s="13">
        <f t="shared" si="16"/>
        <v>95691</v>
      </c>
      <c r="S90" s="13">
        <f t="shared" si="17"/>
        <v>5625</v>
      </c>
      <c r="T90" s="13">
        <f t="shared" si="18"/>
        <v>19138</v>
      </c>
      <c r="U90" s="13">
        <v>0</v>
      </c>
      <c r="V90" s="13">
        <f t="shared" si="11"/>
        <v>70928</v>
      </c>
    </row>
    <row r="91" spans="1:22" x14ac:dyDescent="0.25">
      <c r="A91" s="1">
        <v>46082</v>
      </c>
      <c r="B91" t="s">
        <v>52</v>
      </c>
      <c r="C91" s="1">
        <v>45170</v>
      </c>
      <c r="D91" s="1"/>
      <c r="E91" s="1" t="s">
        <v>382</v>
      </c>
      <c r="F91" s="1" t="s">
        <v>353</v>
      </c>
      <c r="G91" s="1" t="str">
        <f>VLOOKUP(tblPayroll[[#This Row],[Employee Id]],Table1[[Employee Id]:[Work Location]],13,0)</f>
        <v>Mumbai</v>
      </c>
      <c r="H91">
        <v>9</v>
      </c>
      <c r="I91">
        <f t="shared" si="19"/>
        <v>22</v>
      </c>
      <c r="J91">
        <v>17</v>
      </c>
      <c r="K91" s="13">
        <f>ROUND(VLOOKUP($B91,'CTC Breakup'!$B$2:$O$51,7,0)/31*$I91,0)</f>
        <v>32527</v>
      </c>
      <c r="L91" s="13">
        <f>ROUND(VLOOKUP($B91,'CTC Breakup'!$B$2:$O$51,8,0)/31*$I91,0)</f>
        <v>13011</v>
      </c>
      <c r="M91" s="13">
        <f>ROUND(VLOOKUP($B91,'CTC Breakup'!$B$2:$O$51,9,0)/31*$I91,0)</f>
        <v>13483</v>
      </c>
      <c r="N91" s="13">
        <f>ROUND(VLOOKUP($B91,'CTC Breakup'!$B$2:$O$51,10,0)/31*$I91,0)</f>
        <v>1419</v>
      </c>
      <c r="O91" s="13">
        <f>ROUND(VLOOKUP($B91,'CTC Breakup'!$B$2:$O$51,11,0)/31*$I91,0)</f>
        <v>710</v>
      </c>
      <c r="P91" s="13">
        <f>ROUND(((VLOOKUP($B91,'CTC Breakup'!$B$2:$N$51,13,0)-VLOOKUP($B91,'CTC Breakup'!$B$2:$N$51,12,0))/22/9)*$J91,0)</f>
        <v>7398</v>
      </c>
      <c r="Q91" s="13">
        <v>27550</v>
      </c>
      <c r="R91" s="13">
        <f t="shared" si="16"/>
        <v>96098</v>
      </c>
      <c r="S91" s="13">
        <f t="shared" si="17"/>
        <v>3903</v>
      </c>
      <c r="T91" s="13">
        <f t="shared" si="18"/>
        <v>19220</v>
      </c>
      <c r="U91" s="13">
        <v>14300</v>
      </c>
      <c r="V91" s="13">
        <f t="shared" si="11"/>
        <v>58675</v>
      </c>
    </row>
    <row r="92" spans="1:22" x14ac:dyDescent="0.25">
      <c r="A92" s="1">
        <v>46082</v>
      </c>
      <c r="B92" t="s">
        <v>53</v>
      </c>
      <c r="C92" s="1">
        <v>45173</v>
      </c>
      <c r="D92" s="1"/>
      <c r="E92" s="1" t="s">
        <v>372</v>
      </c>
      <c r="F92" s="1" t="s">
        <v>353</v>
      </c>
      <c r="G92" s="1" t="str">
        <f>VLOOKUP(tblPayroll[[#This Row],[Employee Id]],Table1[[Employee Id]:[Work Location]],13,0)</f>
        <v>Kolkata</v>
      </c>
      <c r="H92">
        <v>0</v>
      </c>
      <c r="I92">
        <f t="shared" si="19"/>
        <v>31</v>
      </c>
      <c r="J92">
        <v>0</v>
      </c>
      <c r="K92" s="13">
        <f>ROUND(VLOOKUP($B92,'CTC Breakup'!$B$2:$O$51,7,0)/31*$I92,0)</f>
        <v>32500</v>
      </c>
      <c r="L92" s="13">
        <f>ROUND(VLOOKUP($B92,'CTC Breakup'!$B$2:$O$51,8,0)/31*$I92,0)</f>
        <v>13000</v>
      </c>
      <c r="M92" s="13">
        <f>ROUND(VLOOKUP($B92,'CTC Breakup'!$B$2:$O$51,9,0)/31*$I92,0)</f>
        <v>15600</v>
      </c>
      <c r="N92" s="13">
        <f>ROUND(VLOOKUP($B92,'CTC Breakup'!$B$2:$O$51,10,0)/31*$I92,0)</f>
        <v>0</v>
      </c>
      <c r="O92" s="13">
        <f>ROUND(VLOOKUP($B92,'CTC Breakup'!$B$2:$O$51,11,0)/31*$I92,0)</f>
        <v>0</v>
      </c>
      <c r="P92" s="13">
        <f>ROUND(((VLOOKUP($B92,'CTC Breakup'!$B$2:$N$51,13,0)-VLOOKUP($B92,'CTC Breakup'!$B$2:$N$51,12,0))/22/9)*$J92,0)</f>
        <v>0</v>
      </c>
      <c r="Q92" s="13">
        <v>23740</v>
      </c>
      <c r="R92" s="13">
        <f t="shared" si="16"/>
        <v>84840</v>
      </c>
      <c r="S92" s="13">
        <f t="shared" si="17"/>
        <v>3900</v>
      </c>
      <c r="T92" s="13">
        <f t="shared" si="18"/>
        <v>16968</v>
      </c>
      <c r="U92" s="13">
        <v>0</v>
      </c>
      <c r="V92" s="13">
        <f t="shared" si="11"/>
        <v>63972</v>
      </c>
    </row>
    <row r="93" spans="1:22" x14ac:dyDescent="0.25">
      <c r="A93" s="1">
        <v>46082</v>
      </c>
      <c r="B93" t="s">
        <v>56</v>
      </c>
      <c r="C93" s="1">
        <v>45236</v>
      </c>
      <c r="D93" s="1"/>
      <c r="E93" s="1" t="s">
        <v>370</v>
      </c>
      <c r="F93" s="1" t="s">
        <v>363</v>
      </c>
      <c r="G93" s="1" t="str">
        <f>VLOOKUP(tblPayroll[[#This Row],[Employee Id]],Table1[[Employee Id]:[Work Location]],13,0)</f>
        <v>Mumbai</v>
      </c>
      <c r="H93">
        <v>0</v>
      </c>
      <c r="I93">
        <f t="shared" si="19"/>
        <v>31</v>
      </c>
      <c r="J93">
        <v>0</v>
      </c>
      <c r="K93" s="13">
        <f>ROUND(VLOOKUP($B93,'CTC Breakup'!$B$2:$O$51,7,0)/31*$I93,0)</f>
        <v>28334</v>
      </c>
      <c r="L93" s="13">
        <f>ROUND(VLOOKUP($B93,'CTC Breakup'!$B$2:$O$51,8,0)/31*$I93,0)</f>
        <v>11334</v>
      </c>
      <c r="M93" s="13">
        <f>ROUND(VLOOKUP($B93,'CTC Breakup'!$B$2:$O$51,9,0)/31*$I93,0)</f>
        <v>13599</v>
      </c>
      <c r="N93" s="13">
        <f>ROUND(VLOOKUP($B93,'CTC Breakup'!$B$2:$O$51,10,0)/31*$I93,0)</f>
        <v>0</v>
      </c>
      <c r="O93" s="13">
        <f>ROUND(VLOOKUP($B93,'CTC Breakup'!$B$2:$O$51,11,0)/31*$I93,0)</f>
        <v>0</v>
      </c>
      <c r="P93" s="13">
        <f>ROUND(((VLOOKUP($B93,'CTC Breakup'!$B$2:$N$51,13,0)-VLOOKUP($B93,'CTC Breakup'!$B$2:$N$51,12,0))/22/9)*$J93,0)</f>
        <v>0</v>
      </c>
      <c r="Q93" s="13">
        <v>0</v>
      </c>
      <c r="R93" s="13">
        <f t="shared" si="16"/>
        <v>53267</v>
      </c>
      <c r="S93" s="13">
        <f t="shared" si="17"/>
        <v>3400</v>
      </c>
      <c r="T93" s="13">
        <f t="shared" si="18"/>
        <v>5327</v>
      </c>
      <c r="U93" s="13">
        <v>0</v>
      </c>
      <c r="V93" s="13">
        <f t="shared" si="11"/>
        <v>44540</v>
      </c>
    </row>
    <row r="94" spans="1:22" x14ac:dyDescent="0.25">
      <c r="A94" s="1">
        <v>46082</v>
      </c>
      <c r="B94" t="s">
        <v>58</v>
      </c>
      <c r="C94" s="1">
        <v>45320</v>
      </c>
      <c r="D94" s="1"/>
      <c r="E94" s="1" t="s">
        <v>359</v>
      </c>
      <c r="F94" s="1" t="s">
        <v>398</v>
      </c>
      <c r="G94" s="1" t="str">
        <f>VLOOKUP(tblPayroll[[#This Row],[Employee Id]],Table1[[Employee Id]:[Work Location]],13,0)</f>
        <v>Hyderabad</v>
      </c>
      <c r="H94">
        <v>6</v>
      </c>
      <c r="I94">
        <f t="shared" si="19"/>
        <v>25</v>
      </c>
      <c r="J94">
        <v>0</v>
      </c>
      <c r="K94" s="13">
        <f>ROUND(VLOOKUP($B94,'CTC Breakup'!$B$2:$O$51,7,0)/31*$I94,0)</f>
        <v>40323</v>
      </c>
      <c r="L94" s="13">
        <f>ROUND(VLOOKUP($B94,'CTC Breakup'!$B$2:$O$51,8,0)/31*$I94,0)</f>
        <v>16129</v>
      </c>
      <c r="M94" s="13">
        <f>ROUND(VLOOKUP($B94,'CTC Breakup'!$B$2:$O$51,9,0)/31*$I94,0)</f>
        <v>16935</v>
      </c>
      <c r="N94" s="13">
        <f>ROUND(VLOOKUP($B94,'CTC Breakup'!$B$2:$O$51,10,0)/31*$I94,0)</f>
        <v>1613</v>
      </c>
      <c r="O94" s="13">
        <f>ROUND(VLOOKUP($B94,'CTC Breakup'!$B$2:$O$51,11,0)/31*$I94,0)</f>
        <v>806</v>
      </c>
      <c r="P94" s="13">
        <f>ROUND(((VLOOKUP($B94,'CTC Breakup'!$B$2:$N$51,13,0)-VLOOKUP($B94,'CTC Breakup'!$B$2:$N$51,12,0))/22/9)*$J94,0)</f>
        <v>0</v>
      </c>
      <c r="Q94" s="13">
        <v>0</v>
      </c>
      <c r="R94" s="13">
        <f t="shared" si="16"/>
        <v>75806</v>
      </c>
      <c r="S94" s="13">
        <f t="shared" si="17"/>
        <v>4839</v>
      </c>
      <c r="T94" s="13">
        <f t="shared" si="18"/>
        <v>15161</v>
      </c>
      <c r="U94" s="13">
        <v>0</v>
      </c>
      <c r="V94" s="13">
        <f t="shared" si="11"/>
        <v>55806</v>
      </c>
    </row>
    <row r="95" spans="1:22" x14ac:dyDescent="0.25">
      <c r="A95" s="1">
        <v>46082</v>
      </c>
      <c r="B95" t="s">
        <v>59</v>
      </c>
      <c r="C95" s="1">
        <v>45327</v>
      </c>
      <c r="D95" s="1">
        <v>46084</v>
      </c>
      <c r="E95" s="1" t="s">
        <v>366</v>
      </c>
      <c r="F95" s="1" t="s">
        <v>397</v>
      </c>
      <c r="G95" s="1" t="str">
        <f>VLOOKUP(tblPayroll[[#This Row],[Employee Id]],Table1[[Employee Id]:[Work Location]],13,0)</f>
        <v>Kolkata</v>
      </c>
      <c r="H95">
        <v>0</v>
      </c>
      <c r="I95">
        <v>3</v>
      </c>
      <c r="J95">
        <v>19</v>
      </c>
      <c r="K95" s="13">
        <f>ROUND(VLOOKUP($B95,'CTC Breakup'!$B$2:$O$51,7,0)/31*$I95,0)</f>
        <v>3145</v>
      </c>
      <c r="L95" s="13">
        <f>ROUND(VLOOKUP($B95,'CTC Breakup'!$B$2:$O$51,8,0)/31*$I95,0)</f>
        <v>1258</v>
      </c>
      <c r="M95" s="13">
        <f>ROUND(VLOOKUP($B95,'CTC Breakup'!$B$2:$O$51,9,0)/31*$I95,0)</f>
        <v>1510</v>
      </c>
      <c r="N95" s="13">
        <f>ROUND(VLOOKUP($B95,'CTC Breakup'!$B$2:$O$51,10,0)/31*$I95,0)</f>
        <v>0</v>
      </c>
      <c r="O95" s="13">
        <f>ROUND(VLOOKUP($B95,'CTC Breakup'!$B$2:$O$51,11,0)/31*$I95,0)</f>
        <v>0</v>
      </c>
      <c r="P95" s="13">
        <f>ROUND(((VLOOKUP($B95,'CTC Breakup'!$B$2:$N$51,13,0)-VLOOKUP($B95,'CTC Breakup'!$B$2:$N$51,12,0))/22/9)*$J95,0)</f>
        <v>5863</v>
      </c>
      <c r="Q95" s="13">
        <v>0</v>
      </c>
      <c r="R95" s="13">
        <f t="shared" si="16"/>
        <v>11776</v>
      </c>
      <c r="S95" s="13">
        <f t="shared" si="17"/>
        <v>377</v>
      </c>
      <c r="T95" s="13">
        <f t="shared" si="18"/>
        <v>0</v>
      </c>
      <c r="U95" s="13">
        <v>14400</v>
      </c>
      <c r="V95" s="13">
        <f t="shared" si="11"/>
        <v>-3001</v>
      </c>
    </row>
    <row r="96" spans="1:22" x14ac:dyDescent="0.25">
      <c r="A96" s="1">
        <v>46082</v>
      </c>
      <c r="B96" t="s">
        <v>60</v>
      </c>
      <c r="C96" s="1">
        <v>45328</v>
      </c>
      <c r="D96" s="1"/>
      <c r="E96" s="1" t="s">
        <v>366</v>
      </c>
      <c r="F96" s="1" t="s">
        <v>397</v>
      </c>
      <c r="G96" s="1" t="str">
        <f>VLOOKUP(tblPayroll[[#This Row],[Employee Id]],Table1[[Employee Id]:[Work Location]],13,0)</f>
        <v>Chennai</v>
      </c>
      <c r="H96">
        <v>10</v>
      </c>
      <c r="I96">
        <f t="shared" si="19"/>
        <v>21</v>
      </c>
      <c r="J96">
        <v>19</v>
      </c>
      <c r="K96" s="13">
        <f>ROUND(VLOOKUP($B96,'CTC Breakup'!$B$2:$O$51,7,0)/31*$I96,0)</f>
        <v>20464</v>
      </c>
      <c r="L96" s="13">
        <f>ROUND(VLOOKUP($B96,'CTC Breakup'!$B$2:$O$51,8,0)/31*$I96,0)</f>
        <v>8186</v>
      </c>
      <c r="M96" s="13">
        <f>ROUND(VLOOKUP($B96,'CTC Breakup'!$B$2:$O$51,9,0)/31*$I96,0)</f>
        <v>9822</v>
      </c>
      <c r="N96" s="13">
        <f>ROUND(VLOOKUP($B96,'CTC Breakup'!$B$2:$O$51,10,0)/31*$I96,0)</f>
        <v>0</v>
      </c>
      <c r="O96" s="13">
        <f>ROUND(VLOOKUP($B96,'CTC Breakup'!$B$2:$O$51,11,0)/31*$I96,0)</f>
        <v>0</v>
      </c>
      <c r="P96" s="13">
        <f>ROUND(((VLOOKUP($B96,'CTC Breakup'!$B$2:$N$51,13,0)-VLOOKUP($B96,'CTC Breakup'!$B$2:$N$51,12,0))/22/9)*$J96,0)</f>
        <v>5450</v>
      </c>
      <c r="Q96" s="13">
        <v>0</v>
      </c>
      <c r="R96" s="13">
        <f t="shared" si="16"/>
        <v>43922</v>
      </c>
      <c r="S96" s="13">
        <f t="shared" si="17"/>
        <v>2456</v>
      </c>
      <c r="T96" s="13">
        <f t="shared" si="18"/>
        <v>0</v>
      </c>
      <c r="U96" s="13">
        <v>0</v>
      </c>
      <c r="V96" s="13">
        <f t="shared" si="11"/>
        <v>41466</v>
      </c>
    </row>
    <row r="97" spans="1:22" x14ac:dyDescent="0.25">
      <c r="A97" s="1">
        <v>46082</v>
      </c>
      <c r="B97" t="s">
        <v>62</v>
      </c>
      <c r="C97" s="1">
        <v>45418</v>
      </c>
      <c r="D97" s="1"/>
      <c r="E97" s="1" t="s">
        <v>359</v>
      </c>
      <c r="F97" s="1" t="s">
        <v>398</v>
      </c>
      <c r="G97" s="1" t="str">
        <f>VLOOKUP(tblPayroll[[#This Row],[Employee Id]],Table1[[Employee Id]:[Work Location]],13,0)</f>
        <v>Mumbai</v>
      </c>
      <c r="H97">
        <v>0</v>
      </c>
      <c r="I97">
        <f t="shared" si="19"/>
        <v>31</v>
      </c>
      <c r="J97">
        <v>0</v>
      </c>
      <c r="K97" s="13">
        <f>ROUND(VLOOKUP($B97,'CTC Breakup'!$B$2:$O$51,7,0)/31*$I97,0)</f>
        <v>47917</v>
      </c>
      <c r="L97" s="13">
        <f>ROUND(VLOOKUP($B97,'CTC Breakup'!$B$2:$O$51,8,0)/31*$I97,0)</f>
        <v>19167</v>
      </c>
      <c r="M97" s="13">
        <f>ROUND(VLOOKUP($B97,'CTC Breakup'!$B$2:$O$51,9,0)/31*$I97,0)</f>
        <v>19999</v>
      </c>
      <c r="N97" s="13">
        <f>ROUND(VLOOKUP($B97,'CTC Breakup'!$B$2:$O$51,10,0)/31*$I97,0)</f>
        <v>2000</v>
      </c>
      <c r="O97" s="13">
        <f>ROUND(VLOOKUP($B97,'CTC Breakup'!$B$2:$O$51,11,0)/31*$I97,0)</f>
        <v>1000</v>
      </c>
      <c r="P97" s="13">
        <f>ROUND(((VLOOKUP($B97,'CTC Breakup'!$B$2:$N$51,13,0)-VLOOKUP($B97,'CTC Breakup'!$B$2:$N$51,12,0))/22/9)*$J97,0)</f>
        <v>0</v>
      </c>
      <c r="Q97" s="13">
        <v>0</v>
      </c>
      <c r="R97" s="13">
        <f t="shared" si="16"/>
        <v>90083</v>
      </c>
      <c r="S97" s="13">
        <f t="shared" si="17"/>
        <v>5750</v>
      </c>
      <c r="T97" s="13">
        <f t="shared" si="18"/>
        <v>18017</v>
      </c>
      <c r="U97" s="13">
        <v>0</v>
      </c>
      <c r="V97" s="13">
        <f t="shared" si="11"/>
        <v>66316</v>
      </c>
    </row>
    <row r="98" spans="1:22" x14ac:dyDescent="0.25">
      <c r="A98" s="1">
        <v>46082</v>
      </c>
      <c r="B98" t="s">
        <v>64</v>
      </c>
      <c r="C98" s="1">
        <v>45502</v>
      </c>
      <c r="D98" s="1"/>
      <c r="E98" s="1" t="s">
        <v>381</v>
      </c>
      <c r="F98" s="1" t="s">
        <v>353</v>
      </c>
      <c r="G98" s="1" t="str">
        <f>VLOOKUP(tblPayroll[[#This Row],[Employee Id]],Table1[[Employee Id]:[Work Location]],13,0)</f>
        <v>Hyderabad</v>
      </c>
      <c r="H98">
        <v>0</v>
      </c>
      <c r="I98">
        <f t="shared" si="19"/>
        <v>31</v>
      </c>
      <c r="J98">
        <v>0</v>
      </c>
      <c r="K98" s="13">
        <f>ROUND(VLOOKUP($B98,'CTC Breakup'!$B$2:$O$51,7,0)/31*$I98,0)</f>
        <v>18750</v>
      </c>
      <c r="L98" s="13">
        <f>ROUND(VLOOKUP($B98,'CTC Breakup'!$B$2:$O$51,8,0)/31*$I98,0)</f>
        <v>7500</v>
      </c>
      <c r="M98" s="13">
        <f>ROUND(VLOOKUP($B98,'CTC Breakup'!$B$2:$O$51,9,0)/31*$I98,0)</f>
        <v>9000</v>
      </c>
      <c r="N98" s="13">
        <f>ROUND(VLOOKUP($B98,'CTC Breakup'!$B$2:$O$51,10,0)/31*$I98,0)</f>
        <v>0</v>
      </c>
      <c r="O98" s="13">
        <f>ROUND(VLOOKUP($B98,'CTC Breakup'!$B$2:$O$51,11,0)/31*$I98,0)</f>
        <v>0</v>
      </c>
      <c r="P98" s="13">
        <f>ROUND(((VLOOKUP($B98,'CTC Breakup'!$B$2:$N$51,13,0)-VLOOKUP($B98,'CTC Breakup'!$B$2:$N$51,12,0))/22/9)*$J98,0)</f>
        <v>0</v>
      </c>
      <c r="Q98" s="13">
        <v>16090</v>
      </c>
      <c r="R98" s="13">
        <f t="shared" si="16"/>
        <v>51340</v>
      </c>
      <c r="S98" s="13">
        <f t="shared" si="17"/>
        <v>2250</v>
      </c>
      <c r="T98" s="13">
        <f t="shared" si="18"/>
        <v>5134</v>
      </c>
      <c r="U98" s="13">
        <v>0</v>
      </c>
      <c r="V98" s="13">
        <f t="shared" si="11"/>
        <v>43956</v>
      </c>
    </row>
    <row r="99" spans="1:22" x14ac:dyDescent="0.25">
      <c r="A99" s="1">
        <v>46082</v>
      </c>
      <c r="B99" t="s">
        <v>65</v>
      </c>
      <c r="C99" s="1">
        <v>45509</v>
      </c>
      <c r="D99" s="1"/>
      <c r="E99" s="1" t="s">
        <v>370</v>
      </c>
      <c r="F99" s="1" t="s">
        <v>363</v>
      </c>
      <c r="G99" s="1" t="str">
        <f>VLOOKUP(tblPayroll[[#This Row],[Employee Id]],Table1[[Employee Id]:[Work Location]],13,0)</f>
        <v>Kolkata</v>
      </c>
      <c r="H99">
        <v>0</v>
      </c>
      <c r="I99">
        <f t="shared" si="19"/>
        <v>31</v>
      </c>
      <c r="J99">
        <v>0</v>
      </c>
      <c r="K99" s="13">
        <f>ROUND(VLOOKUP($B99,'CTC Breakup'!$B$2:$O$51,7,0)/31*$I99,0)</f>
        <v>27084</v>
      </c>
      <c r="L99" s="13">
        <f>ROUND(VLOOKUP($B99,'CTC Breakup'!$B$2:$O$51,8,0)/31*$I99,0)</f>
        <v>10834</v>
      </c>
      <c r="M99" s="13">
        <f>ROUND(VLOOKUP($B99,'CTC Breakup'!$B$2:$O$51,9,0)/31*$I99,0)</f>
        <v>12999</v>
      </c>
      <c r="N99" s="13">
        <f>ROUND(VLOOKUP($B99,'CTC Breakup'!$B$2:$O$51,10,0)/31*$I99,0)</f>
        <v>0</v>
      </c>
      <c r="O99" s="13">
        <f>ROUND(VLOOKUP($B99,'CTC Breakup'!$B$2:$O$51,11,0)/31*$I99,0)</f>
        <v>0</v>
      </c>
      <c r="P99" s="13">
        <f>ROUND(((VLOOKUP($B99,'CTC Breakup'!$B$2:$N$51,13,0)-VLOOKUP($B99,'CTC Breakup'!$B$2:$N$51,12,0))/22/9)*$J99,0)</f>
        <v>0</v>
      </c>
      <c r="Q99" s="13">
        <v>0</v>
      </c>
      <c r="R99" s="13">
        <f t="shared" si="16"/>
        <v>50917</v>
      </c>
      <c r="S99" s="13">
        <f t="shared" si="17"/>
        <v>3250</v>
      </c>
      <c r="T99" s="13">
        <f t="shared" si="18"/>
        <v>5092</v>
      </c>
      <c r="U99" s="13">
        <v>0</v>
      </c>
      <c r="V99" s="13">
        <f t="shared" si="11"/>
        <v>42575</v>
      </c>
    </row>
    <row r="100" spans="1:22" x14ac:dyDescent="0.25">
      <c r="A100" s="1">
        <v>46082</v>
      </c>
      <c r="B100" t="s">
        <v>66</v>
      </c>
      <c r="C100" s="1">
        <v>45537</v>
      </c>
      <c r="D100" s="1">
        <v>46098</v>
      </c>
      <c r="E100" s="1" t="s">
        <v>357</v>
      </c>
      <c r="F100" s="1" t="s">
        <v>354</v>
      </c>
      <c r="G100" s="1" t="str">
        <f>VLOOKUP(tblPayroll[[#This Row],[Employee Id]],Table1[[Employee Id]:[Work Location]],13,0)</f>
        <v>Hyderabad</v>
      </c>
      <c r="H100">
        <v>3</v>
      </c>
      <c r="I100">
        <v>14</v>
      </c>
      <c r="J100">
        <v>21</v>
      </c>
      <c r="K100" s="13">
        <f>ROUND(VLOOKUP($B100,'CTC Breakup'!$B$2:$O$51,7,0)/31*$I100,0)</f>
        <v>27003</v>
      </c>
      <c r="L100" s="13">
        <f>ROUND(VLOOKUP($B100,'CTC Breakup'!$B$2:$O$51,8,0)/31*$I100,0)</f>
        <v>10801</v>
      </c>
      <c r="M100" s="13">
        <f>ROUND(VLOOKUP($B100,'CTC Breakup'!$B$2:$O$51,9,0)/31*$I100,0)</f>
        <v>11606</v>
      </c>
      <c r="N100" s="13">
        <f>ROUND(VLOOKUP($B100,'CTC Breakup'!$B$2:$O$51,10,0)/31*$I100,0)</f>
        <v>903</v>
      </c>
      <c r="O100" s="13">
        <f>ROUND(VLOOKUP($B100,'CTC Breakup'!$B$2:$O$51,11,0)/31*$I100,0)</f>
        <v>452</v>
      </c>
      <c r="P100" s="13">
        <f>ROUND(((VLOOKUP($B100,'CTC Breakup'!$B$2:$N$51,13,0)-VLOOKUP($B100,'CTC Breakup'!$B$2:$N$51,12,0))/22/9)*$J100,0)</f>
        <v>11922</v>
      </c>
      <c r="Q100" s="13">
        <v>0</v>
      </c>
      <c r="R100" s="13">
        <f t="shared" si="16"/>
        <v>62687</v>
      </c>
      <c r="S100" s="13">
        <f t="shared" si="17"/>
        <v>3240</v>
      </c>
      <c r="T100" s="13">
        <f t="shared" si="18"/>
        <v>6269</v>
      </c>
      <c r="U100" s="13">
        <v>13400</v>
      </c>
      <c r="V100" s="13">
        <f t="shared" si="11"/>
        <v>39778</v>
      </c>
    </row>
    <row r="101" spans="1:22" x14ac:dyDescent="0.25">
      <c r="A101" s="1">
        <v>46082</v>
      </c>
      <c r="B101" t="s">
        <v>68</v>
      </c>
      <c r="C101" s="1">
        <v>45579</v>
      </c>
      <c r="D101" s="1"/>
      <c r="E101" s="1" t="s">
        <v>366</v>
      </c>
      <c r="F101" s="1" t="s">
        <v>397</v>
      </c>
      <c r="G101" s="1" t="str">
        <f>VLOOKUP(tblPayroll[[#This Row],[Employee Id]],Table1[[Employee Id]:[Work Location]],13,0)</f>
        <v>Bangalore</v>
      </c>
      <c r="H101">
        <v>0</v>
      </c>
      <c r="I101">
        <f t="shared" si="19"/>
        <v>31</v>
      </c>
      <c r="J101">
        <v>0</v>
      </c>
      <c r="K101" s="13">
        <f>ROUND(VLOOKUP($B101,'CTC Breakup'!$B$2:$O$51,7,0)/31*$I101,0)</f>
        <v>29167</v>
      </c>
      <c r="L101" s="13">
        <f>ROUND(VLOOKUP($B101,'CTC Breakup'!$B$2:$O$51,8,0)/31*$I101,0)</f>
        <v>11667</v>
      </c>
      <c r="M101" s="13">
        <f>ROUND(VLOOKUP($B101,'CTC Breakup'!$B$2:$O$51,9,0)/31*$I101,0)</f>
        <v>13999</v>
      </c>
      <c r="N101" s="13">
        <f>ROUND(VLOOKUP($B101,'CTC Breakup'!$B$2:$O$51,10,0)/31*$I101,0)</f>
        <v>0</v>
      </c>
      <c r="O101" s="13">
        <f>ROUND(VLOOKUP($B101,'CTC Breakup'!$B$2:$O$51,11,0)/31*$I101,0)</f>
        <v>0</v>
      </c>
      <c r="P101" s="13">
        <f>ROUND(((VLOOKUP($B101,'CTC Breakup'!$B$2:$N$51,13,0)-VLOOKUP($B101,'CTC Breakup'!$B$2:$N$51,12,0))/22/9)*$J101,0)</f>
        <v>0</v>
      </c>
      <c r="Q101" s="13">
        <v>0</v>
      </c>
      <c r="R101" s="13">
        <f t="shared" si="16"/>
        <v>54833</v>
      </c>
      <c r="S101" s="13">
        <f t="shared" si="17"/>
        <v>3500</v>
      </c>
      <c r="T101" s="13">
        <f t="shared" si="18"/>
        <v>5483</v>
      </c>
      <c r="U101" s="13">
        <v>0</v>
      </c>
      <c r="V101" s="13">
        <f t="shared" si="11"/>
        <v>45850</v>
      </c>
    </row>
    <row r="102" spans="1:22" x14ac:dyDescent="0.25">
      <c r="A102" s="1">
        <v>46082</v>
      </c>
      <c r="B102" t="s">
        <v>69</v>
      </c>
      <c r="C102" s="1">
        <v>45607</v>
      </c>
      <c r="D102" s="1"/>
      <c r="E102" s="1" t="s">
        <v>368</v>
      </c>
      <c r="F102" s="1" t="s">
        <v>398</v>
      </c>
      <c r="G102" s="1" t="str">
        <f>VLOOKUP(tblPayroll[[#This Row],[Employee Id]],Table1[[Employee Id]:[Work Location]],13,0)</f>
        <v>Chennai</v>
      </c>
      <c r="H102">
        <v>0</v>
      </c>
      <c r="I102">
        <f t="shared" si="19"/>
        <v>31</v>
      </c>
      <c r="J102">
        <v>0</v>
      </c>
      <c r="K102" s="13">
        <f>ROUND(VLOOKUP($B102,'CTC Breakup'!$B$2:$O$51,7,0)/31*$I102,0)</f>
        <v>31250</v>
      </c>
      <c r="L102" s="13">
        <f>ROUND(VLOOKUP($B102,'CTC Breakup'!$B$2:$O$51,8,0)/31*$I102,0)</f>
        <v>12500</v>
      </c>
      <c r="M102" s="13">
        <f>ROUND(VLOOKUP($B102,'CTC Breakup'!$B$2:$O$51,9,0)/31*$I102,0)</f>
        <v>15000</v>
      </c>
      <c r="N102" s="13">
        <f>ROUND(VLOOKUP($B102,'CTC Breakup'!$B$2:$O$51,10,0)/31*$I102,0)</f>
        <v>0</v>
      </c>
      <c r="O102" s="13">
        <f>ROUND(VLOOKUP($B102,'CTC Breakup'!$B$2:$O$51,11,0)/31*$I102,0)</f>
        <v>0</v>
      </c>
      <c r="P102" s="13">
        <f>ROUND(((VLOOKUP($B102,'CTC Breakup'!$B$2:$N$51,13,0)-VLOOKUP($B102,'CTC Breakup'!$B$2:$N$51,12,0))/22/9)*$J102,0)</f>
        <v>0</v>
      </c>
      <c r="Q102" s="13">
        <v>0</v>
      </c>
      <c r="R102" s="13">
        <f t="shared" si="16"/>
        <v>58750</v>
      </c>
      <c r="S102" s="13">
        <f t="shared" si="17"/>
        <v>3750</v>
      </c>
      <c r="T102" s="13">
        <f t="shared" si="18"/>
        <v>5875</v>
      </c>
      <c r="U102" s="13">
        <v>10500</v>
      </c>
      <c r="V102" s="13">
        <f t="shared" si="11"/>
        <v>38625</v>
      </c>
    </row>
    <row r="103" spans="1:22" x14ac:dyDescent="0.25">
      <c r="A103" s="1">
        <v>46082</v>
      </c>
      <c r="B103" t="s">
        <v>70</v>
      </c>
      <c r="C103" s="1">
        <v>45614</v>
      </c>
      <c r="D103" s="1"/>
      <c r="E103" s="1" t="s">
        <v>365</v>
      </c>
      <c r="F103" s="1" t="s">
        <v>354</v>
      </c>
      <c r="G103" s="1" t="str">
        <f>VLOOKUP(tblPayroll[[#This Row],[Employee Id]],Table1[[Employee Id]:[Work Location]],13,0)</f>
        <v>Bangalore</v>
      </c>
      <c r="H103">
        <v>0</v>
      </c>
      <c r="I103">
        <f t="shared" si="19"/>
        <v>31</v>
      </c>
      <c r="J103">
        <v>24</v>
      </c>
      <c r="K103" s="13">
        <f>ROUND(VLOOKUP($B103,'CTC Breakup'!$B$2:$O$51,7,0)/31*$I103,0)</f>
        <v>52084</v>
      </c>
      <c r="L103" s="13">
        <f>ROUND(VLOOKUP($B103,'CTC Breakup'!$B$2:$O$51,8,0)/31*$I103,0)</f>
        <v>20834</v>
      </c>
      <c r="M103" s="13">
        <f>ROUND(VLOOKUP($B103,'CTC Breakup'!$B$2:$O$51,9,0)/31*$I103,0)</f>
        <v>21999</v>
      </c>
      <c r="N103" s="13">
        <f>ROUND(VLOOKUP($B103,'CTC Breakup'!$B$2:$O$51,10,0)/31*$I103,0)</f>
        <v>2000</v>
      </c>
      <c r="O103" s="13">
        <f>ROUND(VLOOKUP($B103,'CTC Breakup'!$B$2:$O$51,11,0)/31*$I103,0)</f>
        <v>1000</v>
      </c>
      <c r="P103" s="13">
        <f>ROUND(((VLOOKUP($B103,'CTC Breakup'!$B$2:$N$51,13,0)-VLOOKUP($B103,'CTC Breakup'!$B$2:$N$51,12,0))/22/9)*$J103,0)</f>
        <v>11869</v>
      </c>
      <c r="Q103" s="13">
        <v>0</v>
      </c>
      <c r="R103" s="13">
        <f t="shared" si="16"/>
        <v>109786</v>
      </c>
      <c r="S103" s="13">
        <f t="shared" si="17"/>
        <v>6250</v>
      </c>
      <c r="T103" s="13">
        <f t="shared" si="18"/>
        <v>32936</v>
      </c>
      <c r="U103" s="13">
        <v>0</v>
      </c>
      <c r="V103" s="13">
        <f t="shared" ref="V103:V117" si="20">R103-S103-T103-U103</f>
        <v>70600</v>
      </c>
    </row>
    <row r="104" spans="1:22" x14ac:dyDescent="0.25">
      <c r="A104" s="1">
        <v>46082</v>
      </c>
      <c r="B104" t="s">
        <v>72</v>
      </c>
      <c r="C104" s="1">
        <v>45663</v>
      </c>
      <c r="D104" s="1"/>
      <c r="E104" s="1" t="s">
        <v>368</v>
      </c>
      <c r="F104" s="1" t="s">
        <v>398</v>
      </c>
      <c r="G104" s="1" t="str">
        <f>VLOOKUP(tblPayroll[[#This Row],[Employee Id]],Table1[[Employee Id]:[Work Location]],13,0)</f>
        <v>Mumbai</v>
      </c>
      <c r="H104">
        <v>0</v>
      </c>
      <c r="I104">
        <f t="shared" si="19"/>
        <v>31</v>
      </c>
      <c r="J104">
        <v>0</v>
      </c>
      <c r="K104" s="13">
        <f>ROUND(VLOOKUP($B104,'CTC Breakup'!$B$2:$O$51,7,0)/31*$I104,0)</f>
        <v>25000</v>
      </c>
      <c r="L104" s="13">
        <f>ROUND(VLOOKUP($B104,'CTC Breakup'!$B$2:$O$51,8,0)/31*$I104,0)</f>
        <v>10000</v>
      </c>
      <c r="M104" s="13">
        <f>ROUND(VLOOKUP($B104,'CTC Breakup'!$B$2:$O$51,9,0)/31*$I104,0)</f>
        <v>12000</v>
      </c>
      <c r="N104" s="13">
        <f>ROUND(VLOOKUP($B104,'CTC Breakup'!$B$2:$O$51,10,0)/31*$I104,0)</f>
        <v>0</v>
      </c>
      <c r="O104" s="13">
        <f>ROUND(VLOOKUP($B104,'CTC Breakup'!$B$2:$O$51,11,0)/31*$I104,0)</f>
        <v>0</v>
      </c>
      <c r="P104" s="13">
        <f>ROUND(((VLOOKUP($B104,'CTC Breakup'!$B$2:$N$51,13,0)-VLOOKUP($B104,'CTC Breakup'!$B$2:$N$51,12,0))/22/9)*$J104,0)</f>
        <v>0</v>
      </c>
      <c r="Q104" s="13">
        <v>0</v>
      </c>
      <c r="R104" s="13">
        <f t="shared" si="16"/>
        <v>47000</v>
      </c>
      <c r="S104" s="13">
        <f t="shared" si="17"/>
        <v>3000</v>
      </c>
      <c r="T104" s="13">
        <f t="shared" si="18"/>
        <v>0</v>
      </c>
      <c r="U104" s="13">
        <v>0</v>
      </c>
      <c r="V104" s="13">
        <f t="shared" si="20"/>
        <v>44000</v>
      </c>
    </row>
    <row r="105" spans="1:22" x14ac:dyDescent="0.25">
      <c r="A105" s="1">
        <v>46082</v>
      </c>
      <c r="B105" t="s">
        <v>74</v>
      </c>
      <c r="C105" s="1">
        <v>45782</v>
      </c>
      <c r="D105" s="1"/>
      <c r="E105" s="1" t="s">
        <v>371</v>
      </c>
      <c r="F105" s="1" t="s">
        <v>363</v>
      </c>
      <c r="G105" s="1" t="str">
        <f>VLOOKUP(tblPayroll[[#This Row],[Employee Id]],Table1[[Employee Id]:[Work Location]],13,0)</f>
        <v>Chennai</v>
      </c>
      <c r="H105">
        <v>0</v>
      </c>
      <c r="I105">
        <f t="shared" si="19"/>
        <v>31</v>
      </c>
      <c r="J105">
        <v>0</v>
      </c>
      <c r="K105" s="13">
        <f>ROUND(VLOOKUP($B105,'CTC Breakup'!$B$2:$O$51,7,0)/31*$I105,0)</f>
        <v>19792</v>
      </c>
      <c r="L105" s="13">
        <f>ROUND(VLOOKUP($B105,'CTC Breakup'!$B$2:$O$51,8,0)/31*$I105,0)</f>
        <v>7917</v>
      </c>
      <c r="M105" s="13">
        <f>ROUND(VLOOKUP($B105,'CTC Breakup'!$B$2:$O$51,9,0)/31*$I105,0)</f>
        <v>9499</v>
      </c>
      <c r="N105" s="13">
        <f>ROUND(VLOOKUP($B105,'CTC Breakup'!$B$2:$O$51,10,0)/31*$I105,0)</f>
        <v>0</v>
      </c>
      <c r="O105" s="13">
        <f>ROUND(VLOOKUP($B105,'CTC Breakup'!$B$2:$O$51,11,0)/31*$I105,0)</f>
        <v>0</v>
      </c>
      <c r="P105" s="13">
        <f>ROUND(((VLOOKUP($B105,'CTC Breakup'!$B$2:$N$51,13,0)-VLOOKUP($B105,'CTC Breakup'!$B$2:$N$51,12,0))/22/9)*$J105,0)</f>
        <v>0</v>
      </c>
      <c r="Q105" s="13">
        <v>0</v>
      </c>
      <c r="R105" s="13">
        <f t="shared" si="16"/>
        <v>37208</v>
      </c>
      <c r="S105" s="13">
        <f t="shared" si="17"/>
        <v>2375</v>
      </c>
      <c r="T105" s="13">
        <f t="shared" si="18"/>
        <v>0</v>
      </c>
      <c r="U105" s="13">
        <v>0</v>
      </c>
      <c r="V105" s="13">
        <f t="shared" si="20"/>
        <v>34833</v>
      </c>
    </row>
    <row r="106" spans="1:22" x14ac:dyDescent="0.25">
      <c r="A106" s="1">
        <v>46082</v>
      </c>
      <c r="B106" t="s">
        <v>78</v>
      </c>
      <c r="C106" s="1">
        <v>45852</v>
      </c>
      <c r="D106" s="1"/>
      <c r="E106" s="1" t="s">
        <v>367</v>
      </c>
      <c r="F106" s="1" t="s">
        <v>397</v>
      </c>
      <c r="G106" s="1" t="str">
        <f>VLOOKUP(tblPayroll[[#This Row],[Employee Id]],Table1[[Employee Id]:[Work Location]],13,0)</f>
        <v>Mumbai</v>
      </c>
      <c r="H106">
        <v>0</v>
      </c>
      <c r="I106">
        <f t="shared" si="19"/>
        <v>31</v>
      </c>
      <c r="J106">
        <v>0</v>
      </c>
      <c r="K106" s="13">
        <f>ROUND(VLOOKUP($B106,'CTC Breakup'!$B$2:$O$51,7,0)/31*$I106,0)</f>
        <v>18750</v>
      </c>
      <c r="L106" s="13">
        <f>ROUND(VLOOKUP($B106,'CTC Breakup'!$B$2:$O$51,8,0)/31*$I106,0)</f>
        <v>7500</v>
      </c>
      <c r="M106" s="13">
        <f>ROUND(VLOOKUP($B106,'CTC Breakup'!$B$2:$O$51,9,0)/31*$I106,0)</f>
        <v>9000</v>
      </c>
      <c r="N106" s="13">
        <f>ROUND(VLOOKUP($B106,'CTC Breakup'!$B$2:$O$51,10,0)/31*$I106,0)</f>
        <v>0</v>
      </c>
      <c r="O106" s="13">
        <f>ROUND(VLOOKUP($B106,'CTC Breakup'!$B$2:$O$51,11,0)/31*$I106,0)</f>
        <v>0</v>
      </c>
      <c r="P106" s="13">
        <f>ROUND(((VLOOKUP($B106,'CTC Breakup'!$B$2:$N$51,13,0)-VLOOKUP($B106,'CTC Breakup'!$B$2:$N$51,12,0))/22/9)*$J106,0)</f>
        <v>0</v>
      </c>
      <c r="Q106" s="13">
        <v>0</v>
      </c>
      <c r="R106" s="13">
        <f t="shared" si="16"/>
        <v>35250</v>
      </c>
      <c r="S106" s="13">
        <f t="shared" si="17"/>
        <v>2250</v>
      </c>
      <c r="T106" s="13">
        <f t="shared" si="18"/>
        <v>0</v>
      </c>
      <c r="U106" s="13">
        <v>0</v>
      </c>
      <c r="V106" s="13">
        <f t="shared" si="20"/>
        <v>33000</v>
      </c>
    </row>
    <row r="107" spans="1:22" x14ac:dyDescent="0.25">
      <c r="A107" s="1">
        <v>46082</v>
      </c>
      <c r="B107" t="s">
        <v>80</v>
      </c>
      <c r="C107" s="1">
        <v>45901</v>
      </c>
      <c r="D107" s="1"/>
      <c r="E107" s="1" t="s">
        <v>362</v>
      </c>
      <c r="F107" s="1" t="s">
        <v>354</v>
      </c>
      <c r="G107" s="1" t="str">
        <f>VLOOKUP(tblPayroll[[#This Row],[Employee Id]],Table1[[Employee Id]:[Work Location]],13,0)</f>
        <v>Kolkata</v>
      </c>
      <c r="H107">
        <v>11</v>
      </c>
      <c r="I107">
        <f t="shared" si="19"/>
        <v>20</v>
      </c>
      <c r="J107">
        <v>23</v>
      </c>
      <c r="K107" s="13">
        <f>ROUND(VLOOKUP($B107,'CTC Breakup'!$B$2:$O$51,7,0)/31*$I107,0)</f>
        <v>34274</v>
      </c>
      <c r="L107" s="13">
        <f>ROUND(VLOOKUP($B107,'CTC Breakup'!$B$2:$O$51,8,0)/31*$I107,0)</f>
        <v>13710</v>
      </c>
      <c r="M107" s="13">
        <f>ROUND(VLOOKUP($B107,'CTC Breakup'!$B$2:$O$51,9,0)/31*$I107,0)</f>
        <v>14516</v>
      </c>
      <c r="N107" s="13">
        <f>ROUND(VLOOKUP($B107,'CTC Breakup'!$B$2:$O$51,10,0)/31*$I107,0)</f>
        <v>1290</v>
      </c>
      <c r="O107" s="13">
        <f>ROUND(VLOOKUP($B107,'CTC Breakup'!$B$2:$O$51,11,0)/31*$I107,0)</f>
        <v>645</v>
      </c>
      <c r="P107" s="13">
        <f>ROUND(((VLOOKUP($B107,'CTC Breakup'!$B$2:$N$51,13,0)-VLOOKUP($B107,'CTC Breakup'!$B$2:$N$51,12,0))/22/9)*$J107,0)</f>
        <v>11602</v>
      </c>
      <c r="Q107" s="13">
        <v>0</v>
      </c>
      <c r="R107" s="13">
        <f t="shared" si="16"/>
        <v>76037</v>
      </c>
      <c r="S107" s="13">
        <f t="shared" si="17"/>
        <v>4113</v>
      </c>
      <c r="T107" s="13">
        <f t="shared" si="18"/>
        <v>15207</v>
      </c>
      <c r="U107" s="13">
        <v>0</v>
      </c>
      <c r="V107" s="13">
        <f t="shared" si="20"/>
        <v>56717</v>
      </c>
    </row>
    <row r="108" spans="1:22" x14ac:dyDescent="0.25">
      <c r="A108" s="1">
        <v>46082</v>
      </c>
      <c r="B108" t="s">
        <v>83</v>
      </c>
      <c r="C108" s="1">
        <v>45978</v>
      </c>
      <c r="D108" s="1"/>
      <c r="E108" s="1" t="s">
        <v>365</v>
      </c>
      <c r="F108" s="1" t="s">
        <v>354</v>
      </c>
      <c r="G108" s="1" t="str">
        <f>VLOOKUP(tblPayroll[[#This Row],[Employee Id]],Table1[[Employee Id]:[Work Location]],13,0)</f>
        <v>Chennai</v>
      </c>
      <c r="H108">
        <v>0</v>
      </c>
      <c r="I108">
        <f t="shared" si="19"/>
        <v>31</v>
      </c>
      <c r="J108">
        <v>0</v>
      </c>
      <c r="K108" s="13">
        <f>ROUND(VLOOKUP($B108,'CTC Breakup'!$B$2:$O$51,7,0)/31*$I108,0)</f>
        <v>49167</v>
      </c>
      <c r="L108" s="13">
        <f>ROUND(VLOOKUP($B108,'CTC Breakup'!$B$2:$O$51,8,0)/31*$I108,0)</f>
        <v>19667</v>
      </c>
      <c r="M108" s="13">
        <f>ROUND(VLOOKUP($B108,'CTC Breakup'!$B$2:$O$51,9,0)/31*$I108,0)</f>
        <v>20599</v>
      </c>
      <c r="N108" s="13">
        <f>ROUND(VLOOKUP($B108,'CTC Breakup'!$B$2:$O$51,10,0)/31*$I108,0)</f>
        <v>2000</v>
      </c>
      <c r="O108" s="13">
        <f>ROUND(VLOOKUP($B108,'CTC Breakup'!$B$2:$O$51,11,0)/31*$I108,0)</f>
        <v>1000</v>
      </c>
      <c r="P108" s="13">
        <f>ROUND(((VLOOKUP($B108,'CTC Breakup'!$B$2:$N$51,13,0)-VLOOKUP($B108,'CTC Breakup'!$B$2:$N$51,12,0))/22/9)*$J108,0)</f>
        <v>0</v>
      </c>
      <c r="Q108" s="13">
        <v>0</v>
      </c>
      <c r="R108" s="13">
        <f t="shared" si="16"/>
        <v>92433</v>
      </c>
      <c r="S108" s="13">
        <f t="shared" si="17"/>
        <v>5900</v>
      </c>
      <c r="T108" s="13">
        <f t="shared" si="18"/>
        <v>18487</v>
      </c>
      <c r="U108" s="13">
        <v>0</v>
      </c>
      <c r="V108" s="13">
        <f t="shared" si="20"/>
        <v>68046</v>
      </c>
    </row>
    <row r="109" spans="1:22" x14ac:dyDescent="0.25">
      <c r="A109" s="1">
        <v>46082</v>
      </c>
      <c r="B109" t="s">
        <v>85</v>
      </c>
      <c r="C109" s="1">
        <v>45992</v>
      </c>
      <c r="D109" s="1"/>
      <c r="E109" s="1" t="s">
        <v>381</v>
      </c>
      <c r="F109" s="1" t="s">
        <v>353</v>
      </c>
      <c r="G109" s="1" t="str">
        <f>VLOOKUP(tblPayroll[[#This Row],[Employee Id]],Table1[[Employee Id]:[Work Location]],13,0)</f>
        <v>Chennai</v>
      </c>
      <c r="H109">
        <v>0</v>
      </c>
      <c r="I109">
        <f t="shared" si="19"/>
        <v>31</v>
      </c>
      <c r="J109">
        <v>0</v>
      </c>
      <c r="K109" s="13">
        <f>ROUND(VLOOKUP($B109,'CTC Breakup'!$B$2:$O$51,7,0)/31*$I109,0)</f>
        <v>18750</v>
      </c>
      <c r="L109" s="13">
        <f>ROUND(VLOOKUP($B109,'CTC Breakup'!$B$2:$O$51,8,0)/31*$I109,0)</f>
        <v>7500</v>
      </c>
      <c r="M109" s="13">
        <f>ROUND(VLOOKUP($B109,'CTC Breakup'!$B$2:$O$51,9,0)/31*$I109,0)</f>
        <v>9000</v>
      </c>
      <c r="N109" s="13">
        <f>ROUND(VLOOKUP($B109,'CTC Breakup'!$B$2:$O$51,10,0)/31*$I109,0)</f>
        <v>0</v>
      </c>
      <c r="O109" s="13">
        <f>ROUND(VLOOKUP($B109,'CTC Breakup'!$B$2:$O$51,11,0)/31*$I109,0)</f>
        <v>0</v>
      </c>
      <c r="P109" s="13">
        <f>ROUND(((VLOOKUP($B109,'CTC Breakup'!$B$2:$N$51,13,0)-VLOOKUP($B109,'CTC Breakup'!$B$2:$N$51,12,0))/22/9)*$J109,0)</f>
        <v>0</v>
      </c>
      <c r="Q109" s="13">
        <v>12980</v>
      </c>
      <c r="R109" s="13">
        <f t="shared" si="16"/>
        <v>48230</v>
      </c>
      <c r="S109" s="13">
        <f t="shared" si="17"/>
        <v>2250</v>
      </c>
      <c r="T109" s="13">
        <f t="shared" si="18"/>
        <v>0</v>
      </c>
      <c r="U109" s="13">
        <v>0</v>
      </c>
      <c r="V109" s="13">
        <f t="shared" si="20"/>
        <v>45980</v>
      </c>
    </row>
    <row r="110" spans="1:22" x14ac:dyDescent="0.25">
      <c r="A110" s="1">
        <v>46082</v>
      </c>
      <c r="B110" t="s">
        <v>86</v>
      </c>
      <c r="C110" s="1">
        <v>46027</v>
      </c>
      <c r="D110" s="1"/>
      <c r="E110" s="1" t="s">
        <v>368</v>
      </c>
      <c r="F110" s="1" t="s">
        <v>398</v>
      </c>
      <c r="G110" s="1" t="str">
        <f>VLOOKUP(tblPayroll[[#This Row],[Employee Id]],Table1[[Employee Id]:[Work Location]],13,0)</f>
        <v>Bangalore</v>
      </c>
      <c r="H110">
        <v>0</v>
      </c>
      <c r="I110">
        <f t="shared" si="19"/>
        <v>31</v>
      </c>
      <c r="J110">
        <v>18</v>
      </c>
      <c r="K110" s="13">
        <f>ROUND(VLOOKUP($B110,'CTC Breakup'!$B$2:$O$51,7,0)/31*$I110,0)</f>
        <v>23959</v>
      </c>
      <c r="L110" s="13">
        <f>ROUND(VLOOKUP($B110,'CTC Breakup'!$B$2:$O$51,8,0)/31*$I110,0)</f>
        <v>9584</v>
      </c>
      <c r="M110" s="13">
        <f>ROUND(VLOOKUP($B110,'CTC Breakup'!$B$2:$O$51,9,0)/31*$I110,0)</f>
        <v>11499</v>
      </c>
      <c r="N110" s="13">
        <f>ROUND(VLOOKUP($B110,'CTC Breakup'!$B$2:$O$51,10,0)/31*$I110,0)</f>
        <v>0</v>
      </c>
      <c r="O110" s="13">
        <f>ROUND(VLOOKUP($B110,'CTC Breakup'!$B$2:$O$51,11,0)/31*$I110,0)</f>
        <v>0</v>
      </c>
      <c r="P110" s="13">
        <f>ROUND(((VLOOKUP($B110,'CTC Breakup'!$B$2:$N$51,13,0)-VLOOKUP($B110,'CTC Breakup'!$B$2:$N$51,12,0))/22/9)*$J110,0)</f>
        <v>4095</v>
      </c>
      <c r="Q110" s="13">
        <v>0</v>
      </c>
      <c r="R110" s="13">
        <f t="shared" si="16"/>
        <v>49137</v>
      </c>
      <c r="S110" s="13">
        <f t="shared" si="17"/>
        <v>2875</v>
      </c>
      <c r="T110" s="13">
        <f t="shared" si="18"/>
        <v>0</v>
      </c>
      <c r="U110" s="13">
        <v>0</v>
      </c>
      <c r="V110" s="13">
        <f t="shared" si="20"/>
        <v>46262</v>
      </c>
    </row>
    <row r="111" spans="1:22" x14ac:dyDescent="0.25">
      <c r="A111" s="1">
        <v>46082</v>
      </c>
      <c r="B111" t="s">
        <v>87</v>
      </c>
      <c r="C111" s="1">
        <v>46041</v>
      </c>
      <c r="D111" s="1"/>
      <c r="E111" s="1" t="s">
        <v>365</v>
      </c>
      <c r="F111" s="1" t="s">
        <v>354</v>
      </c>
      <c r="G111" s="1" t="str">
        <f>VLOOKUP(tblPayroll[[#This Row],[Employee Id]],Table1[[Employee Id]:[Work Location]],13,0)</f>
        <v>Kolkata</v>
      </c>
      <c r="H111">
        <v>0</v>
      </c>
      <c r="I111">
        <f t="shared" si="19"/>
        <v>31</v>
      </c>
      <c r="J111">
        <v>0</v>
      </c>
      <c r="K111" s="13">
        <f>ROUND(VLOOKUP($B111,'CTC Breakup'!$B$2:$O$51,7,0)/31*$I111,0)</f>
        <v>47917</v>
      </c>
      <c r="L111" s="13">
        <f>ROUND(VLOOKUP($B111,'CTC Breakup'!$B$2:$O$51,8,0)/31*$I111,0)</f>
        <v>19167</v>
      </c>
      <c r="M111" s="13">
        <f>ROUND(VLOOKUP($B111,'CTC Breakup'!$B$2:$O$51,9,0)/31*$I111,0)</f>
        <v>19999</v>
      </c>
      <c r="N111" s="13">
        <f>ROUND(VLOOKUP($B111,'CTC Breakup'!$B$2:$O$51,10,0)/31*$I111,0)</f>
        <v>2000</v>
      </c>
      <c r="O111" s="13">
        <f>ROUND(VLOOKUP($B111,'CTC Breakup'!$B$2:$O$51,11,0)/31*$I111,0)</f>
        <v>1000</v>
      </c>
      <c r="P111" s="13">
        <f>ROUND(((VLOOKUP($B111,'CTC Breakup'!$B$2:$N$51,13,0)-VLOOKUP($B111,'CTC Breakup'!$B$2:$N$51,12,0))/22/9)*$J111,0)</f>
        <v>0</v>
      </c>
      <c r="Q111" s="13">
        <v>0</v>
      </c>
      <c r="R111" s="13">
        <f t="shared" si="16"/>
        <v>90083</v>
      </c>
      <c r="S111" s="13">
        <f t="shared" si="17"/>
        <v>5750</v>
      </c>
      <c r="T111" s="13">
        <f t="shared" si="18"/>
        <v>18017</v>
      </c>
      <c r="U111" s="13">
        <v>13900</v>
      </c>
      <c r="V111" s="13">
        <f t="shared" si="20"/>
        <v>52416</v>
      </c>
    </row>
    <row r="112" spans="1:22" x14ac:dyDescent="0.25">
      <c r="A112" s="1">
        <v>46082</v>
      </c>
      <c r="B112" t="s">
        <v>89</v>
      </c>
      <c r="C112" s="1">
        <v>46056</v>
      </c>
      <c r="D112" s="1"/>
      <c r="E112" s="1" t="s">
        <v>367</v>
      </c>
      <c r="F112" s="1" t="s">
        <v>397</v>
      </c>
      <c r="G112" s="1" t="str">
        <f>VLOOKUP(tblPayroll[[#This Row],[Employee Id]],Table1[[Employee Id]:[Work Location]],13,0)</f>
        <v>Hyderabad</v>
      </c>
      <c r="H112">
        <v>0</v>
      </c>
      <c r="I112">
        <f t="shared" si="19"/>
        <v>31</v>
      </c>
      <c r="J112">
        <v>0</v>
      </c>
      <c r="K112" s="13">
        <f>ROUND(VLOOKUP($B112,'CTC Breakup'!$B$2:$O$51,7,0)/31*$I112,0)</f>
        <v>18750</v>
      </c>
      <c r="L112" s="13">
        <f>ROUND(VLOOKUP($B112,'CTC Breakup'!$B$2:$O$51,8,0)/31*$I112,0)</f>
        <v>7500</v>
      </c>
      <c r="M112" s="13">
        <f>ROUND(VLOOKUP($B112,'CTC Breakup'!$B$2:$O$51,9,0)/31*$I112,0)</f>
        <v>9000</v>
      </c>
      <c r="N112" s="13">
        <f>ROUND(VLOOKUP($B112,'CTC Breakup'!$B$2:$O$51,10,0)/31*$I112,0)</f>
        <v>0</v>
      </c>
      <c r="O112" s="13">
        <f>ROUND(VLOOKUP($B112,'CTC Breakup'!$B$2:$O$51,11,0)/31*$I112,0)</f>
        <v>0</v>
      </c>
      <c r="P112" s="13">
        <f>ROUND(((VLOOKUP($B112,'CTC Breakup'!$B$2:$N$51,13,0)-VLOOKUP($B112,'CTC Breakup'!$B$2:$N$51,12,0))/22/9)*$J112,0)</f>
        <v>0</v>
      </c>
      <c r="Q112" s="13">
        <v>0</v>
      </c>
      <c r="R112" s="13">
        <f t="shared" si="16"/>
        <v>35250</v>
      </c>
      <c r="S112" s="13">
        <f t="shared" si="17"/>
        <v>2250</v>
      </c>
      <c r="T112" s="13">
        <f t="shared" si="18"/>
        <v>0</v>
      </c>
      <c r="U112" s="13">
        <v>0</v>
      </c>
      <c r="V112" s="13">
        <f t="shared" si="20"/>
        <v>33000</v>
      </c>
    </row>
    <row r="113" spans="1:22" x14ac:dyDescent="0.25">
      <c r="A113" s="1">
        <v>46082</v>
      </c>
      <c r="B113" t="s">
        <v>91</v>
      </c>
      <c r="C113" s="1">
        <v>46062</v>
      </c>
      <c r="D113" s="1"/>
      <c r="E113" s="1" t="s">
        <v>368</v>
      </c>
      <c r="F113" s="1" t="s">
        <v>398</v>
      </c>
      <c r="G113" s="1" t="str">
        <f>VLOOKUP(tblPayroll[[#This Row],[Employee Id]],Table1[[Employee Id]:[Work Location]],13,0)</f>
        <v>Chennai</v>
      </c>
      <c r="H113">
        <v>0</v>
      </c>
      <c r="I113">
        <f t="shared" si="19"/>
        <v>31</v>
      </c>
      <c r="J113">
        <v>24</v>
      </c>
      <c r="K113" s="13">
        <f>ROUND(VLOOKUP($B113,'CTC Breakup'!$B$2:$O$51,7,0)/31*$I113,0)</f>
        <v>23959</v>
      </c>
      <c r="L113" s="13">
        <f>ROUND(VLOOKUP($B113,'CTC Breakup'!$B$2:$O$51,8,0)/31*$I113,0)</f>
        <v>9584</v>
      </c>
      <c r="M113" s="13">
        <f>ROUND(VLOOKUP($B113,'CTC Breakup'!$B$2:$O$51,9,0)/31*$I113,0)</f>
        <v>11499</v>
      </c>
      <c r="N113" s="13">
        <f>ROUND(VLOOKUP($B113,'CTC Breakup'!$B$2:$O$51,10,0)/31*$I113,0)</f>
        <v>0</v>
      </c>
      <c r="O113" s="13">
        <f>ROUND(VLOOKUP($B113,'CTC Breakup'!$B$2:$O$51,11,0)/31*$I113,0)</f>
        <v>0</v>
      </c>
      <c r="P113" s="13">
        <f>ROUND(((VLOOKUP($B113,'CTC Breakup'!$B$2:$N$51,13,0)-VLOOKUP($B113,'CTC Breakup'!$B$2:$N$51,12,0))/22/9)*$J113,0)</f>
        <v>5460</v>
      </c>
      <c r="Q113" s="13">
        <v>0</v>
      </c>
      <c r="R113" s="13">
        <f t="shared" si="16"/>
        <v>50502</v>
      </c>
      <c r="S113" s="13">
        <f t="shared" si="17"/>
        <v>2875</v>
      </c>
      <c r="T113" s="13">
        <f t="shared" si="18"/>
        <v>5050</v>
      </c>
      <c r="U113" s="13">
        <v>0</v>
      </c>
      <c r="V113" s="13">
        <f t="shared" si="20"/>
        <v>42577</v>
      </c>
    </row>
    <row r="114" spans="1:22" x14ac:dyDescent="0.25">
      <c r="A114" s="1">
        <v>46082</v>
      </c>
      <c r="B114" t="s">
        <v>93</v>
      </c>
      <c r="C114" s="1">
        <v>46063</v>
      </c>
      <c r="D114" s="1"/>
      <c r="E114" s="1" t="s">
        <v>368</v>
      </c>
      <c r="F114" s="1" t="s">
        <v>398</v>
      </c>
      <c r="G114" s="1" t="str">
        <f>VLOOKUP(tblPayroll[[#This Row],[Employee Id]],Table1[[Employee Id]:[Work Location]],13,0)</f>
        <v>Bangalore</v>
      </c>
      <c r="H114">
        <v>0</v>
      </c>
      <c r="I114">
        <f t="shared" si="19"/>
        <v>31</v>
      </c>
      <c r="J114">
        <v>0</v>
      </c>
      <c r="K114" s="13">
        <f>ROUND(VLOOKUP($B114,'CTC Breakup'!$B$2:$O$51,7,0)/31*$I114,0)</f>
        <v>23959</v>
      </c>
      <c r="L114" s="13">
        <f>ROUND(VLOOKUP($B114,'CTC Breakup'!$B$2:$O$51,8,0)/31*$I114,0)</f>
        <v>9584</v>
      </c>
      <c r="M114" s="13">
        <f>ROUND(VLOOKUP($B114,'CTC Breakup'!$B$2:$O$51,9,0)/31*$I114,0)</f>
        <v>11499</v>
      </c>
      <c r="N114" s="13">
        <f>ROUND(VLOOKUP($B114,'CTC Breakup'!$B$2:$O$51,10,0)/31*$I114,0)</f>
        <v>0</v>
      </c>
      <c r="O114" s="13">
        <f>ROUND(VLOOKUP($B114,'CTC Breakup'!$B$2:$O$51,11,0)/31*$I114,0)</f>
        <v>0</v>
      </c>
      <c r="P114" s="13">
        <f>ROUND(((VLOOKUP($B114,'CTC Breakup'!$B$2:$N$51,13,0)-VLOOKUP($B114,'CTC Breakup'!$B$2:$N$51,12,0))/22/9)*$J114,0)</f>
        <v>0</v>
      </c>
      <c r="Q114" s="13">
        <v>0</v>
      </c>
      <c r="R114" s="13">
        <f t="shared" si="16"/>
        <v>45042</v>
      </c>
      <c r="S114" s="13">
        <f t="shared" si="17"/>
        <v>2875</v>
      </c>
      <c r="T114" s="13">
        <f t="shared" si="18"/>
        <v>0</v>
      </c>
      <c r="U114" s="13">
        <v>0</v>
      </c>
      <c r="V114" s="13">
        <f t="shared" si="20"/>
        <v>42167</v>
      </c>
    </row>
    <row r="115" spans="1:22" x14ac:dyDescent="0.25">
      <c r="A115" s="1">
        <v>46082</v>
      </c>
      <c r="B115" t="s">
        <v>94</v>
      </c>
      <c r="C115" s="1">
        <v>46091</v>
      </c>
      <c r="D115" s="1"/>
      <c r="E115" s="1" t="s">
        <v>367</v>
      </c>
      <c r="F115" s="1" t="s">
        <v>397</v>
      </c>
      <c r="G115" s="1" t="str">
        <f>VLOOKUP(tblPayroll[[#This Row],[Employee Id]],Table1[[Employee Id]:[Work Location]],13,0)</f>
        <v>Mumbai</v>
      </c>
      <c r="H115">
        <v>0</v>
      </c>
      <c r="I115">
        <f t="shared" si="19"/>
        <v>31</v>
      </c>
      <c r="J115">
        <v>0</v>
      </c>
      <c r="K115" s="13">
        <f>ROUND(VLOOKUP($B115,'CTC Breakup'!$B$2:$O$51,7,0)/31*$I115,0)</f>
        <v>18750</v>
      </c>
      <c r="L115" s="13">
        <f>ROUND(VLOOKUP($B115,'CTC Breakup'!$B$2:$O$51,8,0)/31*$I115,0)</f>
        <v>7500</v>
      </c>
      <c r="M115" s="13">
        <f>ROUND(VLOOKUP($B115,'CTC Breakup'!$B$2:$O$51,9,0)/31*$I115,0)</f>
        <v>9000</v>
      </c>
      <c r="N115" s="13">
        <f>ROUND(VLOOKUP($B115,'CTC Breakup'!$B$2:$O$51,10,0)/31*$I115,0)</f>
        <v>0</v>
      </c>
      <c r="O115" s="13">
        <f>ROUND(VLOOKUP($B115,'CTC Breakup'!$B$2:$O$51,11,0)/31*$I115,0)</f>
        <v>0</v>
      </c>
      <c r="P115" s="13">
        <f>ROUND(((VLOOKUP($B115,'CTC Breakup'!$B$2:$N$51,13,0)-VLOOKUP($B115,'CTC Breakup'!$B$2:$N$51,12,0))/22/9)*$J115,0)</f>
        <v>0</v>
      </c>
      <c r="Q115" s="13">
        <v>0</v>
      </c>
      <c r="R115" s="13">
        <f t="shared" si="16"/>
        <v>35250</v>
      </c>
      <c r="S115" s="13">
        <f t="shared" si="17"/>
        <v>2250</v>
      </c>
      <c r="T115" s="13">
        <f t="shared" si="18"/>
        <v>0</v>
      </c>
      <c r="U115" s="13">
        <v>0</v>
      </c>
      <c r="V115" s="13">
        <f t="shared" si="20"/>
        <v>33000</v>
      </c>
    </row>
    <row r="116" spans="1:22" x14ac:dyDescent="0.25">
      <c r="A116" s="1">
        <v>46082</v>
      </c>
      <c r="B116" t="s">
        <v>95</v>
      </c>
      <c r="C116" s="1">
        <v>46098</v>
      </c>
      <c r="D116" s="1"/>
      <c r="E116" s="1" t="s">
        <v>371</v>
      </c>
      <c r="F116" s="1" t="s">
        <v>363</v>
      </c>
      <c r="G116" s="1" t="str">
        <f>VLOOKUP(tblPayroll[[#This Row],[Employee Id]],Table1[[Employee Id]:[Work Location]],13,0)</f>
        <v>Hyderabad</v>
      </c>
      <c r="H116">
        <v>0</v>
      </c>
      <c r="I116">
        <f t="shared" si="19"/>
        <v>31</v>
      </c>
      <c r="J116">
        <v>17</v>
      </c>
      <c r="K116" s="13">
        <f>ROUND(VLOOKUP($B116,'CTC Breakup'!$B$2:$O$51,7,0)/31*$I116,0)</f>
        <v>19792</v>
      </c>
      <c r="L116" s="13">
        <f>ROUND(VLOOKUP($B116,'CTC Breakup'!$B$2:$O$51,8,0)/31*$I116,0)</f>
        <v>7917</v>
      </c>
      <c r="M116" s="13">
        <f>ROUND(VLOOKUP($B116,'CTC Breakup'!$B$2:$O$51,9,0)/31*$I116,0)</f>
        <v>9499</v>
      </c>
      <c r="N116" s="13">
        <f>ROUND(VLOOKUP($B116,'CTC Breakup'!$B$2:$O$51,10,0)/31*$I116,0)</f>
        <v>0</v>
      </c>
      <c r="O116" s="13">
        <f>ROUND(VLOOKUP($B116,'CTC Breakup'!$B$2:$O$51,11,0)/31*$I116,0)</f>
        <v>0</v>
      </c>
      <c r="P116" s="13">
        <f>ROUND(((VLOOKUP($B116,'CTC Breakup'!$B$2:$N$51,13,0)-VLOOKUP($B116,'CTC Breakup'!$B$2:$N$51,12,0))/22/9)*$J116,0)</f>
        <v>3195</v>
      </c>
      <c r="Q116" s="13">
        <v>0</v>
      </c>
      <c r="R116" s="13">
        <f t="shared" si="16"/>
        <v>40403</v>
      </c>
      <c r="S116" s="13">
        <f t="shared" si="17"/>
        <v>2375</v>
      </c>
      <c r="T116" s="13">
        <f t="shared" si="18"/>
        <v>0</v>
      </c>
      <c r="U116" s="13">
        <v>0</v>
      </c>
      <c r="V116" s="13">
        <f t="shared" si="20"/>
        <v>38028</v>
      </c>
    </row>
    <row r="117" spans="1:22" x14ac:dyDescent="0.25">
      <c r="A117" s="1">
        <v>46082</v>
      </c>
      <c r="B117" t="s">
        <v>96</v>
      </c>
      <c r="C117" s="1">
        <v>46105</v>
      </c>
      <c r="D117" s="1"/>
      <c r="E117" s="1" t="s">
        <v>381</v>
      </c>
      <c r="F117" s="1" t="s">
        <v>353</v>
      </c>
      <c r="G117" s="1" t="str">
        <f>VLOOKUP(tblPayroll[[#This Row],[Employee Id]],Table1[[Employee Id]:[Work Location]],13,0)</f>
        <v>Hyderabad</v>
      </c>
      <c r="H117">
        <v>0</v>
      </c>
      <c r="I117">
        <f t="shared" si="19"/>
        <v>31</v>
      </c>
      <c r="J117">
        <v>22</v>
      </c>
      <c r="K117" s="13">
        <f>ROUND(VLOOKUP($B117,'CTC Breakup'!$B$2:$O$51,7,0)/31*$I117,0)</f>
        <v>18750</v>
      </c>
      <c r="L117" s="13">
        <f>ROUND(VLOOKUP($B117,'CTC Breakup'!$B$2:$O$51,8,0)/31*$I117,0)</f>
        <v>7500</v>
      </c>
      <c r="M117" s="13">
        <f>ROUND(VLOOKUP($B117,'CTC Breakup'!$B$2:$O$51,9,0)/31*$I117,0)</f>
        <v>9000</v>
      </c>
      <c r="N117" s="13">
        <f>ROUND(VLOOKUP($B117,'CTC Breakup'!$B$2:$O$51,10,0)/31*$I117,0)</f>
        <v>0</v>
      </c>
      <c r="O117" s="13">
        <f>ROUND(VLOOKUP($B117,'CTC Breakup'!$B$2:$O$51,11,0)/31*$I117,0)</f>
        <v>0</v>
      </c>
      <c r="P117" s="13">
        <f>ROUND(((VLOOKUP($B117,'CTC Breakup'!$B$2:$N$51,13,0)-VLOOKUP($B117,'CTC Breakup'!$B$2:$N$51,12,0))/22/9)*$J117,0)</f>
        <v>3917</v>
      </c>
      <c r="Q117" s="13">
        <v>13660</v>
      </c>
      <c r="R117" s="13">
        <f t="shared" si="16"/>
        <v>52827</v>
      </c>
      <c r="S117" s="13">
        <f t="shared" si="17"/>
        <v>2250</v>
      </c>
      <c r="T117" s="13">
        <f t="shared" si="18"/>
        <v>5283</v>
      </c>
      <c r="U117" s="13">
        <v>0</v>
      </c>
      <c r="V117" s="13">
        <f t="shared" si="20"/>
        <v>45294</v>
      </c>
    </row>
  </sheetData>
  <pageMargins left="0.7" right="0.7" top="0.75" bottom="0.75" header="0.3" footer="0.3"/>
  <ignoredErrors>
    <ignoredError sqref="T2:T117" calculatedColumn="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3B83-6E87-44A9-A2CC-20678D560D9D}">
  <dimension ref="A1:P31"/>
  <sheetViews>
    <sheetView workbookViewId="0">
      <selection activeCell="A26" sqref="A26"/>
    </sheetView>
  </sheetViews>
  <sheetFormatPr defaultRowHeight="15" x14ac:dyDescent="0.25"/>
  <cols>
    <col min="1" max="1" width="14" bestFit="1" customWidth="1"/>
    <col min="2" max="2" width="15.7109375" bestFit="1" customWidth="1"/>
    <col min="3" max="3" width="13.7109375" bestFit="1" customWidth="1"/>
    <col min="4" max="4" width="11.28515625" bestFit="1" customWidth="1"/>
    <col min="5" max="5" width="13.7109375" bestFit="1" customWidth="1"/>
    <col min="6" max="6" width="16.7109375" bestFit="1" customWidth="1"/>
    <col min="7" max="7" width="16.28515625" bestFit="1" customWidth="1"/>
    <col min="8" max="8" width="13.7109375" bestFit="1" customWidth="1"/>
    <col min="9" max="9" width="11.28515625" bestFit="1" customWidth="1"/>
    <col min="11" max="11" width="13.7109375" bestFit="1" customWidth="1"/>
    <col min="12" max="12" width="18.5703125" bestFit="1" customWidth="1"/>
    <col min="13" max="13" width="16.7109375" bestFit="1" customWidth="1"/>
    <col min="14" max="14" width="17.85546875" bestFit="1" customWidth="1"/>
    <col min="15" max="15" width="14" bestFit="1" customWidth="1"/>
    <col min="16" max="16" width="15.7109375" bestFit="1" customWidth="1"/>
  </cols>
  <sheetData>
    <row r="1" spans="1:16" x14ac:dyDescent="0.25">
      <c r="A1" s="14" t="s">
        <v>402</v>
      </c>
      <c r="B1" s="14" t="s">
        <v>401</v>
      </c>
      <c r="F1" s="14" t="s">
        <v>402</v>
      </c>
      <c r="G1" s="14" t="s">
        <v>401</v>
      </c>
      <c r="K1" s="14" t="s">
        <v>347</v>
      </c>
      <c r="L1" t="s">
        <v>410</v>
      </c>
      <c r="M1" t="s">
        <v>402</v>
      </c>
      <c r="O1" s="14" t="s">
        <v>11</v>
      </c>
      <c r="P1" t="s">
        <v>411</v>
      </c>
    </row>
    <row r="2" spans="1:16" x14ac:dyDescent="0.25">
      <c r="A2" s="14" t="s">
        <v>11</v>
      </c>
      <c r="B2" s="17">
        <v>46023</v>
      </c>
      <c r="C2" s="17">
        <v>46054</v>
      </c>
      <c r="D2" s="17">
        <v>46082</v>
      </c>
      <c r="F2" s="14" t="s">
        <v>404</v>
      </c>
      <c r="G2" s="17">
        <v>46023</v>
      </c>
      <c r="H2" s="17">
        <v>46054</v>
      </c>
      <c r="I2" s="17">
        <v>46082</v>
      </c>
      <c r="K2" s="18">
        <v>46023</v>
      </c>
      <c r="L2" s="16">
        <v>3229498</v>
      </c>
      <c r="M2" s="16">
        <v>2261671</v>
      </c>
      <c r="O2" s="15" t="s">
        <v>354</v>
      </c>
      <c r="P2">
        <v>216</v>
      </c>
    </row>
    <row r="3" spans="1:16" x14ac:dyDescent="0.25">
      <c r="A3" s="15" t="s">
        <v>354</v>
      </c>
      <c r="B3" s="16">
        <v>648450</v>
      </c>
      <c r="C3" s="16">
        <v>667220</v>
      </c>
      <c r="D3" s="16">
        <v>636131</v>
      </c>
      <c r="F3" s="15" t="s">
        <v>21</v>
      </c>
      <c r="G3" s="16">
        <v>539154</v>
      </c>
      <c r="H3" s="16">
        <v>577553</v>
      </c>
      <c r="I3" s="16">
        <v>574229</v>
      </c>
      <c r="K3" s="18">
        <v>46054</v>
      </c>
      <c r="L3" s="16">
        <v>3187501</v>
      </c>
      <c r="M3" s="16">
        <v>2256144</v>
      </c>
      <c r="O3" s="15" t="s">
        <v>397</v>
      </c>
      <c r="P3">
        <v>205</v>
      </c>
    </row>
    <row r="4" spans="1:16" x14ac:dyDescent="0.25">
      <c r="A4" s="15" t="s">
        <v>397</v>
      </c>
      <c r="B4" s="16">
        <v>356710</v>
      </c>
      <c r="C4" s="16">
        <v>350746</v>
      </c>
      <c r="D4" s="16">
        <v>322527</v>
      </c>
      <c r="F4" s="15" t="s">
        <v>32</v>
      </c>
      <c r="G4" s="16">
        <v>563439</v>
      </c>
      <c r="H4" s="16">
        <v>485221</v>
      </c>
      <c r="I4" s="16">
        <v>530713</v>
      </c>
      <c r="K4" s="18">
        <v>46082</v>
      </c>
      <c r="L4" s="16">
        <v>3219625</v>
      </c>
      <c r="M4" s="16">
        <v>2292472</v>
      </c>
      <c r="O4" s="15" t="s">
        <v>398</v>
      </c>
      <c r="P4">
        <v>206</v>
      </c>
    </row>
    <row r="5" spans="1:16" x14ac:dyDescent="0.25">
      <c r="A5" s="15" t="s">
        <v>398</v>
      </c>
      <c r="B5" s="16">
        <v>449737</v>
      </c>
      <c r="C5" s="16">
        <v>490045</v>
      </c>
      <c r="D5" s="16">
        <v>483688</v>
      </c>
      <c r="F5" s="15" t="s">
        <v>29</v>
      </c>
      <c r="G5" s="16">
        <v>334358</v>
      </c>
      <c r="H5" s="16">
        <v>393683</v>
      </c>
      <c r="I5" s="16">
        <v>451070</v>
      </c>
      <c r="O5" s="15" t="s">
        <v>363</v>
      </c>
      <c r="P5">
        <v>147</v>
      </c>
    </row>
    <row r="6" spans="1:16" x14ac:dyDescent="0.25">
      <c r="A6" s="15" t="s">
        <v>363</v>
      </c>
      <c r="B6" s="16">
        <v>285671</v>
      </c>
      <c r="C6" s="16">
        <v>270238</v>
      </c>
      <c r="D6" s="16">
        <v>273409</v>
      </c>
      <c r="F6" s="15" t="s">
        <v>405</v>
      </c>
      <c r="G6" s="16">
        <v>400618</v>
      </c>
      <c r="H6" s="16">
        <v>381034</v>
      </c>
      <c r="I6" s="16">
        <v>344279</v>
      </c>
      <c r="O6" s="15" t="s">
        <v>353</v>
      </c>
      <c r="P6">
        <v>172</v>
      </c>
    </row>
    <row r="7" spans="1:16" x14ac:dyDescent="0.25">
      <c r="A7" s="15" t="s">
        <v>353</v>
      </c>
      <c r="B7" s="16">
        <v>521103</v>
      </c>
      <c r="C7" s="16">
        <v>477895</v>
      </c>
      <c r="D7" s="16">
        <v>576717</v>
      </c>
      <c r="F7" s="15" t="s">
        <v>26</v>
      </c>
      <c r="G7" s="16">
        <v>424102</v>
      </c>
      <c r="H7" s="16">
        <v>418653</v>
      </c>
      <c r="I7" s="16">
        <v>392181</v>
      </c>
    </row>
    <row r="21" spans="1:14" x14ac:dyDescent="0.25">
      <c r="L21" s="14" t="s">
        <v>11</v>
      </c>
      <c r="M21" t="s">
        <v>419</v>
      </c>
      <c r="N21" t="s">
        <v>420</v>
      </c>
    </row>
    <row r="22" spans="1:14" x14ac:dyDescent="0.25">
      <c r="L22" s="18">
        <v>46023</v>
      </c>
      <c r="M22" s="16">
        <v>189103</v>
      </c>
      <c r="N22" s="16">
        <v>694824</v>
      </c>
    </row>
    <row r="23" spans="1:14" x14ac:dyDescent="0.25">
      <c r="L23" s="18">
        <v>46054</v>
      </c>
      <c r="M23" s="16">
        <v>187854</v>
      </c>
      <c r="N23" s="16">
        <v>657303</v>
      </c>
    </row>
    <row r="24" spans="1:14" x14ac:dyDescent="0.25">
      <c r="L24" s="18">
        <v>46082</v>
      </c>
      <c r="M24" s="16">
        <v>184918</v>
      </c>
      <c r="N24" s="16">
        <v>662435</v>
      </c>
    </row>
    <row r="26" spans="1:14" x14ac:dyDescent="0.25">
      <c r="A26" s="14" t="s">
        <v>11</v>
      </c>
      <c r="B26" t="s">
        <v>412</v>
      </c>
    </row>
    <row r="27" spans="1:14" x14ac:dyDescent="0.25">
      <c r="A27" s="15" t="s">
        <v>21</v>
      </c>
      <c r="B27">
        <v>77</v>
      </c>
    </row>
    <row r="28" spans="1:14" x14ac:dyDescent="0.25">
      <c r="A28" s="15" t="s">
        <v>32</v>
      </c>
      <c r="B28">
        <v>95</v>
      </c>
    </row>
    <row r="29" spans="1:14" x14ac:dyDescent="0.25">
      <c r="A29" s="15" t="s">
        <v>29</v>
      </c>
      <c r="B29">
        <v>25</v>
      </c>
    </row>
    <row r="30" spans="1:14" x14ac:dyDescent="0.25">
      <c r="A30" s="15" t="s">
        <v>405</v>
      </c>
      <c r="B30">
        <v>43</v>
      </c>
    </row>
    <row r="31" spans="1:14" x14ac:dyDescent="0.25">
      <c r="A31" s="15" t="s">
        <v>26</v>
      </c>
      <c r="B31">
        <v>29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BCBBD-BC55-4BB4-A1D4-097D6DE59043}">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0B18-1FBB-4C0F-B794-1E7C2A3D9678}">
  <dimension ref="A1"/>
  <sheetViews>
    <sheetView showGridLines="0" showRowColHeaders="0"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 Profile</vt:lpstr>
      <vt:lpstr>Pivot Tables - Workforce</vt:lpstr>
      <vt:lpstr>Dashboard for Emp Workforce</vt:lpstr>
      <vt:lpstr>Business Insights for Workforce</vt:lpstr>
      <vt:lpstr>CTC Breakup</vt:lpstr>
      <vt:lpstr>Employee Headcount</vt:lpstr>
      <vt:lpstr>Monthly Payroll</vt:lpstr>
      <vt:lpstr>Pivot Tables - Payroll</vt:lpstr>
      <vt:lpstr>Dashboard for Emp Payroll</vt:lpstr>
      <vt:lpstr>Business Insights for Payroll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SG</dc:creator>
  <cp:lastModifiedBy>Arjun SG</cp:lastModifiedBy>
  <dcterms:created xsi:type="dcterms:W3CDTF">2015-06-05T18:17:20Z</dcterms:created>
  <dcterms:modified xsi:type="dcterms:W3CDTF">2026-09-22T03:14:19Z</dcterms:modified>
</cp:coreProperties>
</file>